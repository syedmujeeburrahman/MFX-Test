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mplementation Cost" sheetId="2" state="visible" r:id="rId2"/>
    <sheet xmlns:r="http://schemas.openxmlformats.org/officeDocument/2006/relationships" name="Odoo License Cost" sheetId="3" state="visible" r:id="rId3"/>
    <sheet xmlns:r="http://schemas.openxmlformats.org/officeDocument/2006/relationships" name="Hardware &amp; Third Party" sheetId="4" state="visible" r:id="rId4"/>
    <sheet xmlns:r="http://schemas.openxmlformats.org/officeDocument/2006/relationships" name="Phasing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Sources" sheetId="7" state="visible" r:id="rId7"/>
  </sheets>
  <definedNames>
    <definedName name="_xlnm._FilterDatabase" localSheetId="2" hidden="1">'Odoo License Cost'!$A$1:$F$22</definedName>
    <definedName name="_xlnm._FilterDatabase" localSheetId="3" hidden="1">'Hardware &amp; Third Party'!$A$1:$F$16</definedName>
    <definedName name="_xlnm._FilterDatabase" localSheetId="4" hidden="1">'Phasing'!$A$1:$G$8</definedName>
    <definedName name="_xlnm._FilterDatabase" localSheetId="6" hidden="1">'Sources'!$A$1:$D$4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 Cost by Workstream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'Implementation Cost'!K1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Cost'!$B$2:$B$20</f>
            </numRef>
          </cat>
          <val>
            <numRef>
              <f>'Implementation Cost'!$K$2:$K$20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Workstream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mplementationCostTable" displayName="ImplementationCostTable" ref="A1:K20" headerRowCount="1">
  <autoFilter ref="A1:K20"/>
  <tableColumns count="11">
    <tableColumn id="1" name="WBS"/>
    <tableColumn id="2" name="Workstream"/>
    <tableColumn id="3" name="BRD Coverage"/>
    <tableColumn id="4" name="Scope Included"/>
    <tableColumn id="5" name="Odoo Apps / Components"/>
    <tableColumn id="6" name="Low Hours"/>
    <tableColumn id="7" name="Base Hours"/>
    <tableColumn id="8" name="High Hours"/>
    <tableColumn id="9" name="Risk"/>
    <tableColumn id="10" name="Notes"/>
    <tableColumn id="11" name="Base Co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95" customWidth="1" min="4" max="4"/>
  </cols>
  <sheetData>
    <row r="1" ht="24" customHeight="1">
      <c r="A1" s="1" t="inlineStr">
        <is>
          <t>Fox Cities Racquet Club - Odoo Cost Estimate</t>
        </is>
      </c>
      <c r="B1" s="2" t="n"/>
      <c r="C1" s="2" t="n"/>
      <c r="D1" s="2" t="n"/>
      <c r="E1" s="2" t="n"/>
      <c r="F1" s="2" t="n"/>
      <c r="G1" s="2" t="n"/>
      <c r="H1" s="2" t="n"/>
    </row>
    <row r="2" ht="36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36" customHeight="1">
      <c r="A3" s="4" t="inlineStr">
        <is>
          <t>Prepared from</t>
        </is>
      </c>
      <c r="B3" s="5" t="inlineStr">
        <is>
          <t>BRD PDF v1.0</t>
        </is>
      </c>
      <c r="C3" s="3" t="n"/>
      <c r="D3" s="6" t="inlineStr">
        <is>
          <t>BRD Scope Highlights</t>
        </is>
      </c>
      <c r="E3" s="3" t="n"/>
      <c r="F3" s="3" t="n"/>
      <c r="G3" s="3" t="n"/>
      <c r="H3" s="3" t="n"/>
    </row>
    <row r="4" ht="36" customHeight="1">
      <c r="A4" s="4" t="inlineStr">
        <is>
          <t>Currency</t>
        </is>
      </c>
      <c r="B4" s="5" t="inlineStr">
        <is>
          <t>USD</t>
        </is>
      </c>
      <c r="C4" s="3" t="n"/>
      <c r="D4" s="5" t="inlineStr">
        <is>
          <t>• Integrated ERP replacing disconnected systems and manual processes.</t>
        </is>
      </c>
      <c r="E4" s="3" t="n"/>
      <c r="F4" s="3" t="n"/>
      <c r="G4" s="3" t="n"/>
      <c r="H4" s="3" t="n"/>
    </row>
    <row r="5" ht="36" customHeight="1">
      <c r="A5" s="4" t="inlineStr">
        <is>
          <t>Prepared Date</t>
        </is>
      </c>
      <c r="B5" s="5" t="inlineStr">
        <is>
          <t>2026-07-17</t>
        </is>
      </c>
      <c r="C5" s="3" t="n"/>
      <c r="D5" s="5" t="inlineStr">
        <is>
          <t>• CRM/customer master with family/household relationships and document history.</t>
        </is>
      </c>
      <c r="E5" s="3" t="n"/>
      <c r="F5" s="3" t="n"/>
      <c r="G5" s="3" t="n"/>
      <c r="H5" s="3" t="n"/>
    </row>
    <row r="6" ht="36" customHeight="1">
      <c r="A6" s="4" t="inlineStr">
        <is>
          <t>Recommended License Plan</t>
        </is>
      </c>
      <c r="B6" s="5" t="inlineStr">
        <is>
          <t>Odoo Custom - annual billing</t>
        </is>
      </c>
      <c r="C6" s="3" t="n"/>
      <c r="D6" s="5" t="inlineStr">
        <is>
          <t>• Membership management with automated renewals and recurring billing.</t>
        </is>
      </c>
      <c r="E6" s="3" t="n"/>
      <c r="F6" s="3" t="n"/>
      <c r="G6" s="3" t="n"/>
      <c r="H6" s="3" t="n"/>
    </row>
    <row r="7" ht="36" customHeight="1">
      <c r="A7" s="4" t="inlineStr">
        <is>
          <t>Planning Paid Users</t>
        </is>
      </c>
      <c r="B7" s="5">
        <f>'Odoo License Cost'!B2</f>
        <v/>
      </c>
      <c r="C7" s="3" t="n"/>
      <c r="D7" s="5" t="inlineStr">
        <is>
          <t>• Court scheduling with conflict prevention, recurring bookings, maintenance blocks, waitlists, and utilization reporting.</t>
        </is>
      </c>
      <c r="E7" s="3" t="n"/>
      <c r="F7" s="3" t="n"/>
      <c r="G7" s="3" t="n"/>
      <c r="H7" s="3" t="n"/>
    </row>
    <row r="8" ht="36" customHeight="1">
      <c r="A8" s="4" t="inlineStr">
        <is>
          <t>Implementation Rate</t>
        </is>
      </c>
      <c r="B8" s="7">
        <f>'Assumptions'!B3</f>
        <v/>
      </c>
      <c r="C8" s="3" t="n"/>
      <c r="D8" s="5" t="inlineStr">
        <is>
          <t>• Programs, lessons, clinics, leagues, instructor scheduling, and attendance tracking.</t>
        </is>
      </c>
      <c r="E8" s="3" t="n"/>
      <c r="F8" s="3" t="n"/>
      <c r="G8" s="3" t="n"/>
      <c r="H8" s="3" t="n"/>
    </row>
    <row r="9" ht="36" customHeight="1">
      <c r="A9" s="3" t="n"/>
      <c r="B9" s="3" t="n"/>
      <c r="C9" s="3" t="n"/>
      <c r="D9" s="5" t="inlineStr">
        <is>
          <t>• POS with barcode scanning, member pricing, gift cards, returns, payments, and immediate inventory/accounting posting.</t>
        </is>
      </c>
      <c r="E9" s="3" t="n"/>
      <c r="F9" s="3" t="n"/>
      <c r="G9" s="3" t="n"/>
      <c r="H9" s="3" t="n"/>
    </row>
    <row r="10" ht="36" customHeight="1">
      <c r="A10" s="6" t="inlineStr">
        <is>
          <t>Cost Summary</t>
        </is>
      </c>
      <c r="B10" s="2" t="n"/>
      <c r="C10" s="3" t="n"/>
      <c r="D10" s="5" t="inlineStr">
        <is>
          <t>• Inventory/purchasing/vendor management with receiving, valuation, and AP matching.</t>
        </is>
      </c>
      <c r="E10" s="3" t="n"/>
      <c r="F10" s="3" t="n"/>
      <c r="G10" s="3" t="n"/>
      <c r="H10" s="3" t="n"/>
    </row>
    <row r="11" ht="36" customHeight="1">
      <c r="A11" s="8" t="inlineStr">
        <is>
          <t>Implementation subtotal</t>
        </is>
      </c>
      <c r="B11" s="9">
        <f>'Implementation Cost'!K22</f>
        <v/>
      </c>
      <c r="C11" s="3" t="n"/>
      <c r="D11" s="5" t="inlineStr">
        <is>
          <t>• Accounting, payroll/HR, role-based security, dashboards, migration, UAT, cutover, and 30-day stabilization.</t>
        </is>
      </c>
      <c r="E11" s="3" t="n"/>
      <c r="F11" s="3" t="n"/>
      <c r="G11" s="3" t="n"/>
      <c r="H11" s="3" t="n"/>
    </row>
    <row r="12" ht="36" customHeight="1">
      <c r="A12" s="5" t="inlineStr">
        <is>
          <t>Implementation contingency</t>
        </is>
      </c>
      <c r="B12" s="7">
        <f>'Implementation Cost'!K23</f>
        <v/>
      </c>
      <c r="C12" s="3" t="n"/>
      <c r="D12" s="3" t="n"/>
      <c r="E12" s="3" t="n"/>
      <c r="F12" s="3" t="n"/>
      <c r="G12" s="3" t="n"/>
      <c r="H12" s="3" t="n"/>
    </row>
    <row r="13" ht="36" customHeight="1">
      <c r="A13" s="8" t="inlineStr">
        <is>
          <t>Implementation total</t>
        </is>
      </c>
      <c r="B13" s="9">
        <f>'Implementation Cost'!K24</f>
        <v/>
      </c>
      <c r="C13" s="3" t="n"/>
      <c r="D13" s="3" t="n"/>
      <c r="E13" s="3" t="n"/>
      <c r="F13" s="3" t="n"/>
      <c r="G13" s="3" t="n"/>
      <c r="H13" s="3" t="n"/>
    </row>
    <row r="14" ht="36" customHeight="1">
      <c r="A14" s="5" t="inlineStr">
        <is>
          <t>Recommended Odoo license, year 1</t>
        </is>
      </c>
      <c r="B14" s="7">
        <f>'Odoo License Cost'!E13</f>
        <v/>
      </c>
      <c r="C14" s="3" t="n"/>
      <c r="D14" s="6" t="inlineStr">
        <is>
          <t>Recommendation</t>
        </is>
      </c>
      <c r="E14" s="3" t="n"/>
      <c r="F14" s="3" t="n"/>
      <c r="G14" s="3" t="n"/>
      <c r="H14" s="3" t="n"/>
    </row>
    <row r="15" ht="36" customHeight="1">
      <c r="A15" s="5" t="inlineStr">
        <is>
          <t>Estimated hardware/third-party, upfront</t>
        </is>
      </c>
      <c r="B15" s="7">
        <f>'Hardware &amp; Third Party'!E16</f>
        <v/>
      </c>
      <c r="C15" s="3" t="n"/>
      <c r="D15" s="5" t="inlineStr">
        <is>
          <t>Use Odoo Custom plan for costing because the BRD includes custom workflows, Odoo Studio/custom modules, external integrations/API possibility, portal/online booking readiness, and role/security customization. The implementation estimate follows the BRD configuration-first principle and treats custom development as last resort.</t>
        </is>
      </c>
      <c r="E15" s="3" t="n"/>
      <c r="F15" s="3" t="n"/>
      <c r="G15" s="3" t="n"/>
      <c r="H15" s="3" t="n"/>
    </row>
    <row r="16" ht="36" customHeight="1">
      <c r="A16" s="8" t="inlineStr">
        <is>
          <t>Estimated first-year total</t>
        </is>
      </c>
      <c r="B16" s="9">
        <f>B13+B14+B15</f>
        <v/>
      </c>
      <c r="C16" s="3" t="n"/>
      <c r="D16" s="3" t="n"/>
      <c r="E16" s="3" t="n"/>
      <c r="F16" s="3" t="n"/>
      <c r="G16" s="3" t="n"/>
      <c r="H16" s="3" t="n"/>
    </row>
    <row r="17" ht="36" customHeight="1">
      <c r="A17" s="5" t="inlineStr">
        <is>
          <t>Estimated recurring annual license only</t>
        </is>
      </c>
      <c r="B17" s="7">
        <f>'Odoo License Cost'!E13</f>
        <v/>
      </c>
      <c r="C17" s="3" t="n"/>
      <c r="D17" s="3" t="n"/>
      <c r="E17" s="3" t="n"/>
      <c r="F17" s="3" t="n"/>
      <c r="G17" s="3" t="n"/>
      <c r="H1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52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48" customWidth="1" min="10" max="10"/>
    <col width="16" customWidth="1" min="11" max="11"/>
    <col width="20" customWidth="1" min="13" max="13"/>
  </cols>
  <sheetData>
    <row r="1" ht="24" customHeight="1">
      <c r="A1" s="10" t="inlineStr">
        <is>
          <t>WBS</t>
        </is>
      </c>
      <c r="B1" s="10" t="inlineStr">
        <is>
          <t>Workstream</t>
        </is>
      </c>
      <c r="C1" s="10" t="inlineStr">
        <is>
          <t>BRD Coverage</t>
        </is>
      </c>
      <c r="D1" s="10" t="inlineStr">
        <is>
          <t>Scope Included</t>
        </is>
      </c>
      <c r="E1" s="10" t="inlineStr">
        <is>
          <t>Odoo Apps / Components</t>
        </is>
      </c>
      <c r="F1" s="10" t="inlineStr">
        <is>
          <t>Low Hours</t>
        </is>
      </c>
      <c r="G1" s="10" t="inlineStr">
        <is>
          <t>Base Hours</t>
        </is>
      </c>
      <c r="H1" s="10" t="inlineStr">
        <is>
          <t>High Hours</t>
        </is>
      </c>
      <c r="I1" s="10" t="inlineStr">
        <is>
          <t>Risk</t>
        </is>
      </c>
      <c r="J1" s="10" t="inlineStr">
        <is>
          <t>Notes</t>
        </is>
      </c>
      <c r="K1" s="10" t="inlineStr">
        <is>
          <t>Base Cost</t>
        </is>
      </c>
    </row>
    <row r="2" ht="36" customHeight="1">
      <c r="A2" s="5" t="inlineStr">
        <is>
          <t>DISC</t>
        </is>
      </c>
      <c r="B2" s="5" t="inlineStr">
        <is>
          <t>Discovery, BRD validation &amp; solution blueprint</t>
        </is>
      </c>
      <c r="C2" s="5" t="inlineStr">
        <is>
          <t>All sections</t>
        </is>
      </c>
      <c r="D2" s="5" t="inlineStr">
        <is>
          <t>Process workshops, fit-gap, requirements traceability, solution design, backlog, project plan</t>
        </is>
      </c>
      <c r="E2" s="5" t="inlineStr">
        <is>
          <t>Project, Knowledge</t>
        </is>
      </c>
      <c r="F2" s="11" t="n">
        <v>60</v>
      </c>
      <c r="G2" s="11" t="n">
        <v>90</v>
      </c>
      <c r="H2" s="11" t="n">
        <v>120</v>
      </c>
      <c r="I2" s="5" t="inlineStr">
        <is>
          <t>Medium</t>
        </is>
      </c>
      <c r="J2" s="5" t="inlineStr">
        <is>
          <t>Includes validation of 72-page BRD and configuration-first design.</t>
        </is>
      </c>
      <c r="K2" s="7">
        <f>G2*Assumptions!$B$3</f>
        <v/>
      </c>
    </row>
    <row r="3" ht="36" customHeight="1">
      <c r="A3" s="5" t="inlineStr">
        <is>
          <t>PM</t>
        </is>
      </c>
      <c r="B3" s="5" t="inlineStr">
        <is>
          <t>Project management &amp; governance</t>
        </is>
      </c>
      <c r="C3" s="5" t="inlineStr">
        <is>
          <t>All workstreams</t>
        </is>
      </c>
      <c r="D3" s="5" t="inlineStr">
        <is>
          <t>Status meetings, RAID log, change control, steering reviews, budget/schedule management</t>
        </is>
      </c>
      <c r="E3" s="5" t="inlineStr">
        <is>
          <t>Project</t>
        </is>
      </c>
      <c r="F3" s="11" t="n">
        <v>55</v>
      </c>
      <c r="G3" s="11" t="n">
        <v>80</v>
      </c>
      <c r="H3" s="11" t="n">
        <v>110</v>
      </c>
      <c r="I3" s="5" t="inlineStr">
        <is>
          <t>Medium</t>
        </is>
      </c>
      <c r="J3" s="5" t="inlineStr">
        <is>
          <t>Assumes remote project governance.</t>
        </is>
      </c>
      <c r="K3" s="7">
        <f>G3*Assumptions!$B$3</f>
        <v/>
      </c>
    </row>
    <row r="4" ht="36" customHeight="1">
      <c r="A4" s="5" t="inlineStr">
        <is>
          <t>BASE</t>
        </is>
      </c>
      <c r="B4" s="5" t="inlineStr">
        <is>
          <t>Base Odoo setup &amp; environment configuration</t>
        </is>
      </c>
      <c r="C4" s="5" t="inlineStr">
        <is>
          <t>NFR, Security, Maintainability</t>
        </is>
      </c>
      <c r="D4" s="5" t="inlineStr">
        <is>
          <t>Company setup, fiscal settings, users, email templates, system parameters, backup/cutover settings</t>
        </is>
      </c>
      <c r="E4" s="5" t="inlineStr">
        <is>
          <t>Settings, Discuss, Documents</t>
        </is>
      </c>
      <c r="F4" s="11" t="n">
        <v>35</v>
      </c>
      <c r="G4" s="11" t="n">
        <v>50</v>
      </c>
      <c r="H4" s="11" t="n">
        <v>70</v>
      </c>
      <c r="I4" s="5" t="inlineStr">
        <is>
          <t>Low</t>
        </is>
      </c>
      <c r="J4" s="5" t="inlineStr">
        <is>
          <t>Odoo.sh/on-prem hosting excluded unless selected.</t>
        </is>
      </c>
      <c r="K4" s="7">
        <f>G4*Assumptions!$B$3</f>
        <v/>
      </c>
    </row>
    <row r="5" ht="36" customHeight="1">
      <c r="A5" s="5" t="inlineStr">
        <is>
          <t>CRM</t>
        </is>
      </c>
      <c r="B5" s="5" t="inlineStr">
        <is>
          <t>CRM, customer records &amp; family relationships</t>
        </is>
      </c>
      <c r="C5" s="5" t="inlineStr">
        <is>
          <t>BR-CRM-001 to BR-CRM-005</t>
        </is>
      </c>
      <c r="D5" s="5" t="inlineStr">
        <is>
          <t>Customer master, duplicate controls, household/family links, archive rules, customer history, communications, documents</t>
        </is>
      </c>
      <c r="E5" s="5" t="inlineStr">
        <is>
          <t>CRM, Contacts, Documents, Email Marketing</t>
        </is>
      </c>
      <c r="F5" s="11" t="n">
        <v>95</v>
      </c>
      <c r="G5" s="11" t="n">
        <v>135</v>
      </c>
      <c r="H5" s="11" t="n">
        <v>180</v>
      </c>
      <c r="I5" s="5" t="inlineStr">
        <is>
          <t>High</t>
        </is>
      </c>
      <c r="J5" s="5" t="inlineStr">
        <is>
          <t>Family/household logic may require custom fields and views.</t>
        </is>
      </c>
      <c r="K5" s="7">
        <f>G5*Assumptions!$B$3</f>
        <v/>
      </c>
    </row>
    <row r="6" ht="36" customHeight="1">
      <c r="A6" s="5" t="inlineStr">
        <is>
          <t>MEM</t>
        </is>
      </c>
      <c r="B6" s="5" t="inlineStr">
        <is>
          <t>Membership management &amp; recurring billing</t>
        </is>
      </c>
      <c r="C6" s="5" t="inlineStr">
        <is>
          <t>BR-CRM-006, Membership scope</t>
        </is>
      </c>
      <c r="D6" s="5" t="inlineStr">
        <is>
          <t>Membership types, privileges, annual/monthly billing, renewals, guest handling, customer balances, statements</t>
        </is>
      </c>
      <c r="E6" s="5" t="inlineStr">
        <is>
          <t>Subscriptions, Invoicing, Sales</t>
        </is>
      </c>
      <c r="F6" s="11" t="n">
        <v>90</v>
      </c>
      <c r="G6" s="11" t="n">
        <v>130</v>
      </c>
      <c r="H6" s="11" t="n">
        <v>175</v>
      </c>
      <c r="I6" s="5" t="inlineStr">
        <is>
          <t>High</t>
        </is>
      </c>
      <c r="J6" s="5" t="inlineStr">
        <is>
          <t>Assumes membership billing mapped to subscriptions/recurring invoices.</t>
        </is>
      </c>
      <c r="K6" s="7">
        <f>G6*Assumptions!$B$3</f>
        <v/>
      </c>
    </row>
    <row r="7" ht="36" customHeight="1">
      <c r="A7" s="5" t="inlineStr">
        <is>
          <t>COURT</t>
        </is>
      </c>
      <c r="B7" s="5" t="inlineStr">
        <is>
          <t>Court scheduling &amp; reservations</t>
        </is>
      </c>
      <c r="C7" s="5" t="inlineStr">
        <is>
          <t>BR-COURT-001 to BR-COURT-006</t>
        </is>
      </c>
      <c r="D7" s="5" t="inlineStr">
        <is>
          <t>Courts/resources, reservation calendar, recurring bookings, booking windows, conflict prevention, maintenance blocks, waitlists</t>
        </is>
      </c>
      <c r="E7" s="5" t="inlineStr">
        <is>
          <t>Appointments, Planning, Calendar, Website/Portal</t>
        </is>
      </c>
      <c r="F7" s="11" t="n">
        <v>170</v>
      </c>
      <c r="G7" s="11" t="n">
        <v>240</v>
      </c>
      <c r="H7" s="11" t="n">
        <v>330</v>
      </c>
      <c r="I7" s="5" t="inlineStr">
        <is>
          <t>High</t>
        </is>
      </c>
      <c r="J7" s="5" t="inlineStr">
        <is>
          <t>Largest custom-risk area; Odoo has no out-of-box racquet court scheduler.</t>
        </is>
      </c>
      <c r="K7" s="7">
        <f>G7*Assumptions!$B$3</f>
        <v/>
      </c>
    </row>
    <row r="8" ht="36" customHeight="1">
      <c r="A8" s="5" t="inlineStr">
        <is>
          <t>PROG</t>
        </is>
      </c>
      <c r="B8" s="5" t="inlineStr">
        <is>
          <t>Programs, instruction, lessons, clinics &amp; leagues</t>
        </is>
      </c>
      <c r="C8" s="5" t="inlineStr">
        <is>
          <t>Programs and Instruction scope</t>
        </is>
      </c>
      <c r="D8" s="5" t="inlineStr">
        <is>
          <t>Private/group lessons, clinics, junior/adult programs, league administration, attendance, instructor assignment</t>
        </is>
      </c>
      <c r="E8" s="5" t="inlineStr">
        <is>
          <t>Planning, Events, Sales, Project</t>
        </is>
      </c>
      <c r="F8" s="11" t="n">
        <v>110</v>
      </c>
      <c r="G8" s="11" t="n">
        <v>155</v>
      </c>
      <c r="H8" s="11" t="n">
        <v>220</v>
      </c>
      <c r="I8" s="5" t="inlineStr">
        <is>
          <t>High</t>
        </is>
      </c>
      <c r="J8" s="5" t="inlineStr">
        <is>
          <t>League scheduling and attendance rules may need custom configuration.</t>
        </is>
      </c>
      <c r="K8" s="7">
        <f>G8*Assumptions!$B$3</f>
        <v/>
      </c>
    </row>
    <row r="9" ht="36" customHeight="1">
      <c r="A9" s="5" t="inlineStr">
        <is>
          <t>POS</t>
        </is>
      </c>
      <c r="B9" s="5" t="inlineStr">
        <is>
          <t>Point of Sale retail operations</t>
        </is>
      </c>
      <c r="C9" s="5" t="inlineStr">
        <is>
          <t>BR-POS-001 to BR-POS-006</t>
        </is>
      </c>
      <c r="D9" s="5" t="inlineStr">
        <is>
          <t>POS setup, barcode scanning, member pricing, discounts, gift cards, returns/exchanges, payment flow, customer purchase history</t>
        </is>
      </c>
      <c r="E9" s="5" t="inlineStr">
        <is>
          <t>POS, Sales, Payments</t>
        </is>
      </c>
      <c r="F9" s="11" t="n">
        <v>75</v>
      </c>
      <c r="G9" s="11" t="n">
        <v>105</v>
      </c>
      <c r="H9" s="11" t="n">
        <v>145</v>
      </c>
      <c r="I9" s="5" t="inlineStr">
        <is>
          <t>Medium</t>
        </is>
      </c>
      <c r="J9" s="5" t="inlineStr">
        <is>
          <t>Payment terminal provider setup excluded from license cost.</t>
        </is>
      </c>
      <c r="K9" s="7">
        <f>G9*Assumptions!$B$3</f>
        <v/>
      </c>
    </row>
    <row r="10" ht="36" customHeight="1">
      <c r="A10" s="5" t="inlineStr">
        <is>
          <t>INV</t>
        </is>
      </c>
      <c r="B10" s="5" t="inlineStr">
        <is>
          <t>Inventory &amp; purchasing</t>
        </is>
      </c>
      <c r="C10" s="5" t="inlineStr">
        <is>
          <t>BR-INV-001 to BR-INV-006</t>
        </is>
      </c>
      <c r="D10" s="5" t="inlineStr">
        <is>
          <t>Products, SKUs, stock locations, receiving, adjustments, valuation, reorder rules, purchase orders, vendor bills match</t>
        </is>
      </c>
      <c r="E10" s="5" t="inlineStr">
        <is>
          <t>Inventory, Purchase, Barcode, Accounting</t>
        </is>
      </c>
      <c r="F10" s="11" t="n">
        <v>95</v>
      </c>
      <c r="G10" s="11" t="n">
        <v>135</v>
      </c>
      <c r="H10" s="11" t="n">
        <v>185</v>
      </c>
      <c r="I10" s="5" t="inlineStr">
        <is>
          <t>Medium</t>
        </is>
      </c>
      <c r="J10" s="5" t="inlineStr">
        <is>
          <t>Includes retail, teaching, office, and maintenance inventory categories.</t>
        </is>
      </c>
      <c r="K10" s="7">
        <f>G10*Assumptions!$B$3</f>
        <v/>
      </c>
    </row>
    <row r="11" ht="36" customHeight="1">
      <c r="A11" s="5" t="inlineStr">
        <is>
          <t>ACC</t>
        </is>
      </c>
      <c r="B11" s="5" t="inlineStr">
        <is>
          <t>Accounting, AR/AP, GL &amp; bank reconciliation</t>
        </is>
      </c>
      <c r="C11" s="5" t="inlineStr">
        <is>
          <t>BR-ACC-001 to BR-ACC-009</t>
        </is>
      </c>
      <c r="D11" s="5" t="inlineStr">
        <is>
          <t>Chart of accounts, AR/AP, customer invoices, payments, reminders, vendor bills, approvals, bank reconciliation, financial statements</t>
        </is>
      </c>
      <c r="E11" s="5" t="inlineStr">
        <is>
          <t>Accounting, Invoicing, Approvals</t>
        </is>
      </c>
      <c r="F11" s="11" t="n">
        <v>120</v>
      </c>
      <c r="G11" s="11" t="n">
        <v>165</v>
      </c>
      <c r="H11" s="11" t="n">
        <v>230</v>
      </c>
      <c r="I11" s="5" t="inlineStr">
        <is>
          <t>High</t>
        </is>
      </c>
      <c r="J11" s="5" t="inlineStr">
        <is>
          <t>Sage 50 reconciliation and opening balances included in migration rows.</t>
        </is>
      </c>
      <c r="K11" s="7">
        <f>G11*Assumptions!$B$3</f>
        <v/>
      </c>
    </row>
    <row r="12" ht="36" customHeight="1">
      <c r="A12" s="5" t="inlineStr">
        <is>
          <t>PAY</t>
        </is>
      </c>
      <c r="B12" s="5" t="inlineStr">
        <is>
          <t>Payroll &amp; HR</t>
        </is>
      </c>
      <c r="C12" s="5" t="inlineStr">
        <is>
          <t>BR-ACC-010 to BR-ACC-013</t>
        </is>
      </c>
      <c r="D12" s="5" t="inlineStr">
        <is>
          <t>Employee records, payroll rules, leave balances, payroll approval, GL posting, payroll reporting</t>
        </is>
      </c>
      <c r="E12" s="5" t="inlineStr">
        <is>
          <t>Employees, Payroll, Time Off, Approvals</t>
        </is>
      </c>
      <c r="F12" s="11" t="n">
        <v>70</v>
      </c>
      <c r="G12" s="11" t="n">
        <v>105</v>
      </c>
      <c r="H12" s="11" t="n">
        <v>155</v>
      </c>
      <c r="I12" s="5" t="inlineStr">
        <is>
          <t>High</t>
        </is>
      </c>
      <c r="J12" s="5" t="inlineStr">
        <is>
          <t>US payroll localization/provider dependency may change scope.</t>
        </is>
      </c>
      <c r="K12" s="7">
        <f>G12*Assumptions!$B$3</f>
        <v/>
      </c>
    </row>
    <row r="13" ht="36" customHeight="1">
      <c r="A13" s="5" t="inlineStr">
        <is>
          <t>DOC</t>
        </is>
      </c>
      <c r="B13" s="5" t="inlineStr">
        <is>
          <t>Documents, waivers, contracts &amp; e-signature</t>
        </is>
      </c>
      <c r="C13" s="5" t="inlineStr">
        <is>
          <t>BR-CRM-005, Documentation</t>
        </is>
      </c>
      <c r="D13" s="5" t="inlineStr">
        <is>
          <t>Document folders, waivers/contracts, attachment rules, document history, e-sign workflow where applicable</t>
        </is>
      </c>
      <c r="E13" s="5" t="inlineStr">
        <is>
          <t>Documents, Sign, Contacts</t>
        </is>
      </c>
      <c r="F13" s="11" t="n">
        <v>45</v>
      </c>
      <c r="G13" s="11" t="n">
        <v>70</v>
      </c>
      <c r="H13" s="11" t="n">
        <v>100</v>
      </c>
      <c r="I13" s="5" t="inlineStr">
        <is>
          <t>Medium</t>
        </is>
      </c>
      <c r="J13" s="5" t="inlineStr">
        <is>
          <t>Assumes standard Odoo Sign where possible.</t>
        </is>
      </c>
      <c r="K13" s="7">
        <f>G13*Assumptions!$B$3</f>
        <v/>
      </c>
    </row>
    <row r="14" ht="36" customHeight="1">
      <c r="A14" s="5" t="inlineStr">
        <is>
          <t>COMMS</t>
        </is>
      </c>
      <c r="B14" s="5" t="inlineStr">
        <is>
          <t>Customer portal &amp; communications</t>
        </is>
      </c>
      <c r="C14" s="5" t="inlineStr">
        <is>
          <t>Customer experience, Scheduling, Collections</t>
        </is>
      </c>
      <c r="D14" s="5" t="inlineStr">
        <is>
          <t>Portal/customer account visibility, emails, payment reminders, schedule notifications, optional online booking readiness</t>
        </is>
      </c>
      <c r="E14" s="5" t="inlineStr">
        <is>
          <t>Portal, Website, Email Marketing, SMS</t>
        </is>
      </c>
      <c r="F14" s="11" t="n">
        <v>65</v>
      </c>
      <c r="G14" s="11" t="n">
        <v>95</v>
      </c>
      <c r="H14" s="11" t="n">
        <v>145</v>
      </c>
      <c r="I14" s="5" t="inlineStr">
        <is>
          <t>High</t>
        </is>
      </c>
      <c r="J14" s="5" t="inlineStr">
        <is>
          <t>SMS/credit costs excluded. Online booking may need custom build.</t>
        </is>
      </c>
      <c r="K14" s="7">
        <f>G14*Assumptions!$B$3</f>
        <v/>
      </c>
    </row>
    <row r="15" ht="36" customHeight="1">
      <c r="A15" s="5" t="inlineStr">
        <is>
          <t>RPT</t>
        </is>
      </c>
      <c r="B15" s="5" t="inlineStr">
        <is>
          <t>Dashboards, reports &amp; analytics</t>
        </is>
      </c>
      <c r="C15" s="5" t="inlineStr">
        <is>
          <t>KPIs, Reporting, NFR-008</t>
        </is>
      </c>
      <c r="D15" s="5" t="inlineStr">
        <is>
          <t>Executive dashboards, court utilization, membership stats, instructor productivity, inventory, financial reports, Excel/PDF exports</t>
        </is>
      </c>
      <c r="E15" s="5" t="inlineStr">
        <is>
          <t>Spreadsheet BI, Dashboards, Accounting Reports</t>
        </is>
      </c>
      <c r="F15" s="11" t="n">
        <v>80</v>
      </c>
      <c r="G15" s="11" t="n">
        <v>120</v>
      </c>
      <c r="H15" s="11" t="n">
        <v>170</v>
      </c>
      <c r="I15" s="5" t="inlineStr">
        <is>
          <t>Medium</t>
        </is>
      </c>
      <c r="J15" s="5" t="inlineStr">
        <is>
          <t>Includes management dashboards and saved filters.</t>
        </is>
      </c>
      <c r="K15" s="7">
        <f>G15*Assumptions!$B$3</f>
        <v/>
      </c>
    </row>
    <row r="16" ht="36" customHeight="1">
      <c r="A16" s="5" t="inlineStr">
        <is>
          <t>MIG</t>
        </is>
      </c>
      <c r="B16" s="5" t="inlineStr">
        <is>
          <t>Data migration &amp; reconciliation</t>
        </is>
      </c>
      <c r="C16" s="5" t="inlineStr">
        <is>
          <t>Section 9 Data Migration</t>
        </is>
      </c>
      <c r="D16" s="5" t="inlineStr">
        <is>
          <t>Customers, vendors, inventory, memberships, AR/AP, opening GL balances, employee data, cleansing, validation, financial reconciliation</t>
        </is>
      </c>
      <c r="E16" s="5" t="inlineStr">
        <is>
          <t>Import tools, Accounting, Inventory</t>
        </is>
      </c>
      <c r="F16" s="11" t="n">
        <v>130</v>
      </c>
      <c r="G16" s="11" t="n">
        <v>185</v>
      </c>
      <c r="H16" s="11" t="n">
        <v>270</v>
      </c>
      <c r="I16" s="5" t="inlineStr">
        <is>
          <t>High</t>
        </is>
      </c>
      <c r="J16" s="5" t="inlineStr">
        <is>
          <t>Assumes source data provided from Sage 50/spreadsheets in usable exports.</t>
        </is>
      </c>
      <c r="K16" s="7">
        <f>G16*Assumptions!$B$3</f>
        <v/>
      </c>
    </row>
    <row r="17" ht="36" customHeight="1">
      <c r="A17" s="5" t="inlineStr">
        <is>
          <t>SEC</t>
        </is>
      </c>
      <c r="B17" s="5" t="inlineStr">
        <is>
          <t>Roles, permissions &amp; approvals</t>
        </is>
      </c>
      <c r="C17" s="5" t="inlineStr">
        <is>
          <t>Section 6 User Roles, NFR-004</t>
        </is>
      </c>
      <c r="D17" s="5" t="inlineStr">
        <is>
          <t>Role-based access for GM, Pro Shop/Accounting, Front Desk/POS, instructors/staff; approval workflows and audit controls</t>
        </is>
      </c>
      <c r="E17" s="5" t="inlineStr">
        <is>
          <t>Users, Approvals, Security Groups</t>
        </is>
      </c>
      <c r="F17" s="11" t="n">
        <v>45</v>
      </c>
      <c r="G17" s="11" t="n">
        <v>70</v>
      </c>
      <c r="H17" s="11" t="n">
        <v>100</v>
      </c>
      <c r="I17" s="5" t="inlineStr">
        <is>
          <t>Medium</t>
        </is>
      </c>
      <c r="J17" s="5" t="inlineStr">
        <is>
          <t>Least-privilege role matrix included.</t>
        </is>
      </c>
      <c r="K17" s="7">
        <f>G17*Assumptions!$B$3</f>
        <v/>
      </c>
    </row>
    <row r="18" ht="36" customHeight="1">
      <c r="A18" s="5" t="inlineStr">
        <is>
          <t>QA</t>
        </is>
      </c>
      <c r="B18" s="5" t="inlineStr">
        <is>
          <t>Testing, UAT &amp; quality assurance</t>
        </is>
      </c>
      <c r="C18" s="5" t="inlineStr">
        <is>
          <t>NFR-012, Acceptance Criteria</t>
        </is>
      </c>
      <c r="D18" s="5" t="inlineStr">
        <is>
          <t>Unit, integration, migration validation, UAT, POS testing, scheduling validation, financial reconciliation, regression testing</t>
        </is>
      </c>
      <c r="E18" s="5" t="inlineStr">
        <is>
          <t>Project, Test scripts</t>
        </is>
      </c>
      <c r="F18" s="11" t="n">
        <v>100</v>
      </c>
      <c r="G18" s="11" t="n">
        <v>145</v>
      </c>
      <c r="H18" s="11" t="n">
        <v>210</v>
      </c>
      <c r="I18" s="5" t="inlineStr">
        <is>
          <t>High</t>
        </is>
      </c>
      <c r="J18" s="5" t="inlineStr">
        <is>
          <t>Includes UAT support and defect triage.</t>
        </is>
      </c>
      <c r="K18" s="7">
        <f>G18*Assumptions!$B$3</f>
        <v/>
      </c>
    </row>
    <row r="19" ht="36" customHeight="1">
      <c r="A19" s="5" t="inlineStr">
        <is>
          <t>TRAIN</t>
        </is>
      </c>
      <c r="B19" s="5" t="inlineStr">
        <is>
          <t>Training &amp; change management</t>
        </is>
      </c>
      <c r="C19" s="5" t="inlineStr">
        <is>
          <t>Documentation, User adoption KPI</t>
        </is>
      </c>
      <c r="D19" s="5" t="inlineStr">
        <is>
          <t>Admin training, front desk/POS training, accounting training, instructor/program workflows, user guides, quick reference material</t>
        </is>
      </c>
      <c r="E19" s="5" t="inlineStr">
        <is>
          <t>Knowledge, Odoo eLearning</t>
        </is>
      </c>
      <c r="F19" s="11" t="n">
        <v>65</v>
      </c>
      <c r="G19" s="11" t="n">
        <v>95</v>
      </c>
      <c r="H19" s="11" t="n">
        <v>135</v>
      </c>
      <c r="I19" s="5" t="inlineStr">
        <is>
          <t>Medium</t>
        </is>
      </c>
      <c r="J19" s="5" t="inlineStr">
        <is>
          <t>Remote training assumed. Onsite travel excluded.</t>
        </is>
      </c>
      <c r="K19" s="7">
        <f>G19*Assumptions!$B$3</f>
        <v/>
      </c>
    </row>
    <row r="20" ht="36" customHeight="1">
      <c r="A20" s="5" t="inlineStr">
        <is>
          <t>GO</t>
        </is>
      </c>
      <c r="B20" s="5" t="inlineStr">
        <is>
          <t>Cutover, go-live &amp; 30-day stabilization</t>
        </is>
      </c>
      <c r="C20" s="5" t="inlineStr">
        <is>
          <t>Cutover Strategy, Overall Acceptance</t>
        </is>
      </c>
      <c r="D20" s="5" t="inlineStr">
        <is>
          <t>Go-live checklist, final migration, freeze window, contingency plan, launch support, 30-day stabilization</t>
        </is>
      </c>
      <c r="E20" s="5" t="inlineStr">
        <is>
          <t>All modules</t>
        </is>
      </c>
      <c r="F20" s="11" t="n">
        <v>70</v>
      </c>
      <c r="G20" s="11" t="n">
        <v>105</v>
      </c>
      <c r="H20" s="11" t="n">
        <v>150</v>
      </c>
      <c r="I20" s="5" t="inlineStr">
        <is>
          <t>High</t>
        </is>
      </c>
      <c r="J20" s="5" t="inlineStr">
        <is>
          <t>Includes post-go-live support window.</t>
        </is>
      </c>
      <c r="K20" s="7">
        <f>G20*Assumptions!$B$3</f>
        <v/>
      </c>
    </row>
    <row r="21" ht="36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 ht="36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8" t="inlineStr">
        <is>
          <t>Implementation subtotal</t>
        </is>
      </c>
      <c r="K22" s="9">
        <f>SUM(K2:K20)</f>
        <v/>
      </c>
    </row>
    <row r="23" ht="36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8" t="inlineStr">
        <is>
          <t>Contingency</t>
        </is>
      </c>
      <c r="K23" s="9">
        <f>K22*Assumptions!$B$4</f>
        <v/>
      </c>
    </row>
    <row r="24" ht="36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8" t="inlineStr">
        <is>
          <t>Implementation total</t>
        </is>
      </c>
      <c r="K24" s="9">
        <f>K22+K23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38" customWidth="1" min="3" max="3"/>
    <col width="18" customWidth="1" min="4" max="4"/>
    <col width="18" customWidth="1" min="5" max="5"/>
    <col width="56" customWidth="1" min="6" max="6"/>
  </cols>
  <sheetData>
    <row r="1" ht="24" customHeight="1">
      <c r="A1" s="12" t="inlineStr">
        <is>
          <t>Odoo License Cost - USD</t>
        </is>
      </c>
      <c r="B1" s="3" t="n"/>
      <c r="C1" s="3" t="n"/>
      <c r="D1" s="3" t="n"/>
      <c r="E1" s="3" t="n"/>
      <c r="F1" s="3" t="n"/>
    </row>
    <row r="2" ht="36" customHeight="1">
      <c r="A2" s="5" t="inlineStr">
        <is>
          <t>Planning paid internal users</t>
        </is>
      </c>
      <c r="B2" s="5" t="n">
        <v>12</v>
      </c>
      <c r="C2" s="5" t="inlineStr">
        <is>
          <t>Editable. BRD lists roles but not exact headcount. Customer/member portal users are not paid users.</t>
        </is>
      </c>
      <c r="D2" s="3" t="n"/>
      <c r="E2" s="3" t="n"/>
      <c r="F2" s="3" t="n"/>
    </row>
    <row r="3" ht="36" customHeight="1">
      <c r="A3" s="5" t="inlineStr">
        <is>
          <t>Standard annual billing price per user/month</t>
        </is>
      </c>
      <c r="B3" s="7" t="n">
        <v>24.9</v>
      </c>
      <c r="C3" s="5" t="inlineStr">
        <is>
          <t>USD, annual billing list rate used for planning.</t>
        </is>
      </c>
      <c r="D3" s="3" t="n"/>
      <c r="E3" s="3" t="n"/>
      <c r="F3" s="3" t="n"/>
    </row>
    <row r="4" ht="36" customHeight="1">
      <c r="A4" s="5" t="inlineStr">
        <is>
          <t>Standard monthly billing price per user/month</t>
        </is>
      </c>
      <c r="B4" s="7" t="n">
        <v>31.1</v>
      </c>
      <c r="C4" s="5" t="inlineStr">
        <is>
          <t>USD, month-to-month rate used for comparison.</t>
        </is>
      </c>
      <c r="D4" s="3" t="n"/>
      <c r="E4" s="3" t="n"/>
      <c r="F4" s="3" t="n"/>
    </row>
    <row r="5" ht="36" customHeight="1">
      <c r="A5" s="5" t="inlineStr">
        <is>
          <t>Custom annual billing price per user/month</t>
        </is>
      </c>
      <c r="B5" s="7" t="n">
        <v>37.4</v>
      </c>
      <c r="C5" s="5" t="inlineStr">
        <is>
          <t>USD, annual billing list rate used for recommendation.</t>
        </is>
      </c>
      <c r="D5" s="3" t="n"/>
      <c r="E5" s="3" t="n"/>
      <c r="F5" s="3" t="n"/>
    </row>
    <row r="6" ht="36" customHeight="1">
      <c r="A6" s="5" t="inlineStr">
        <is>
          <t>Custom monthly billing price per user/month</t>
        </is>
      </c>
      <c r="B6" s="7" t="n">
        <v>46.8</v>
      </c>
      <c r="C6" s="5" t="inlineStr">
        <is>
          <t>USD, month-to-month rate used for comparison.</t>
        </is>
      </c>
      <c r="D6" s="3" t="n"/>
      <c r="E6" s="3" t="n"/>
      <c r="F6" s="3" t="n"/>
    </row>
    <row r="7" ht="36" customHeight="1">
      <c r="A7" s="3" t="n"/>
      <c r="B7" s="3" t="n"/>
      <c r="C7" s="3" t="n"/>
      <c r="D7" s="3" t="n"/>
      <c r="E7" s="3" t="n"/>
      <c r="F7" s="3" t="n"/>
    </row>
    <row r="8" ht="36" customHeight="1">
      <c r="A8" s="3" t="n"/>
      <c r="B8" s="3" t="n"/>
      <c r="C8" s="3" t="n"/>
      <c r="D8" s="3" t="n"/>
      <c r="E8" s="3" t="n"/>
      <c r="F8" s="3" t="n"/>
    </row>
    <row r="9" ht="36" customHeight="1">
      <c r="A9" s="10" t="inlineStr">
        <is>
          <t>Plan Scenario</t>
        </is>
      </c>
      <c r="B9" s="10" t="inlineStr">
        <is>
          <t>Included</t>
        </is>
      </c>
      <c r="C9" s="10" t="inlineStr">
        <is>
          <t>Billing</t>
        </is>
      </c>
      <c r="D9" s="10" t="inlineStr">
        <is>
          <t>Monthly Cost</t>
        </is>
      </c>
      <c r="E9" s="10" t="inlineStr">
        <is>
          <t>Annual Cost</t>
        </is>
      </c>
      <c r="F9" s="10" t="inlineStr">
        <is>
          <t>Notes</t>
        </is>
      </c>
    </row>
    <row r="10" ht="36" customHeight="1">
      <c r="A10" s="5" t="inlineStr">
        <is>
          <t>One App Free</t>
        </is>
      </c>
      <c r="B10" s="5" t="inlineStr">
        <is>
          <t>One app, unlimited users, Odoo Online</t>
        </is>
      </c>
      <c r="C10" s="5" t="inlineStr">
        <is>
          <t>N/A</t>
        </is>
      </c>
      <c r="D10" s="7">
        <f>0</f>
        <v/>
      </c>
      <c r="E10" s="7">
        <f>0</f>
        <v/>
      </c>
      <c r="F10" s="5" t="inlineStr">
        <is>
          <t>Not suitable for BRD because multiple apps are required.</t>
        </is>
      </c>
    </row>
    <row r="11" ht="36" customHeight="1">
      <c r="A11" s="5" t="inlineStr">
        <is>
          <t>Standard</t>
        </is>
      </c>
      <c r="B11" s="5" t="inlineStr">
        <is>
          <t>All apps, Odoo Online</t>
        </is>
      </c>
      <c r="C11" s="5" t="inlineStr">
        <is>
          <t>Annual billing</t>
        </is>
      </c>
      <c r="D11" s="7">
        <f>B2*B3</f>
        <v/>
      </c>
      <c r="E11" s="7">
        <f>D11*12</f>
        <v/>
      </c>
      <c r="F11" s="5" t="inlineStr">
        <is>
          <t>Comparison only; not recommended if custom modules/API/Studio are required.</t>
        </is>
      </c>
    </row>
    <row r="12" ht="36" customHeight="1">
      <c r="A12" s="5" t="inlineStr">
        <is>
          <t>Standard</t>
        </is>
      </c>
      <c r="B12" s="5" t="inlineStr">
        <is>
          <t>All apps, Odoo Online</t>
        </is>
      </c>
      <c r="C12" s="5" t="inlineStr">
        <is>
          <t>Monthly billing</t>
        </is>
      </c>
      <c r="D12" s="7">
        <f>B2*B4</f>
        <v/>
      </c>
      <c r="E12" s="7">
        <f>D12*12</f>
        <v/>
      </c>
      <c r="F12" s="5" t="inlineStr">
        <is>
          <t>Comparison only.</t>
        </is>
      </c>
    </row>
    <row r="13" ht="36" customHeight="1">
      <c r="A13" s="13" t="inlineStr">
        <is>
          <t>Custom - Recommended</t>
        </is>
      </c>
      <c r="B13" s="13" t="inlineStr">
        <is>
          <t>All apps, Odoo Online/Odoo.sh/on-premise, Studio, Multi-Company, External API</t>
        </is>
      </c>
      <c r="C13" s="13" t="inlineStr">
        <is>
          <t>Annual billing</t>
        </is>
      </c>
      <c r="D13" s="14">
        <f>B2*B5</f>
        <v/>
      </c>
      <c r="E13" s="14">
        <f>D13*12</f>
        <v/>
      </c>
      <c r="F13" s="13" t="inlineStr">
        <is>
          <t>Recommended for BRD because custom workflows, integrations and Odoo Studio/custom development are likely.</t>
        </is>
      </c>
    </row>
    <row r="14" ht="36" customHeight="1">
      <c r="A14" s="5" t="inlineStr">
        <is>
          <t>Custom</t>
        </is>
      </c>
      <c r="B14" s="5" t="inlineStr">
        <is>
          <t>All apps, Odoo Online/Odoo.sh/on-premise, Studio, Multi-Company, External API</t>
        </is>
      </c>
      <c r="C14" s="5" t="inlineStr">
        <is>
          <t>Monthly billing</t>
        </is>
      </c>
      <c r="D14" s="7">
        <f>B2*B6</f>
        <v/>
      </c>
      <c r="E14" s="7">
        <f>D14*12</f>
        <v/>
      </c>
      <c r="F14" s="5" t="inlineStr">
        <is>
          <t>Comparison only.</t>
        </is>
      </c>
    </row>
    <row r="15" ht="36" customHeight="1">
      <c r="A15" s="5" t="inlineStr">
        <is>
          <t>Odoo.sh hosting</t>
        </is>
      </c>
      <c r="B15" s="5" t="inlineStr">
        <is>
          <t>Continuous integration hosting for custom modules</t>
        </is>
      </c>
      <c r="C15" s="5" t="inlineStr">
        <is>
          <t>Quote required</t>
        </is>
      </c>
      <c r="D15" s="7">
        <f>0</f>
        <v/>
      </c>
      <c r="E15" s="7">
        <f>0</f>
        <v/>
      </c>
      <c r="F15" s="5" t="inlineStr">
        <is>
          <t>Not included in Odoo license cost; add once hosting decision is made.</t>
        </is>
      </c>
    </row>
    <row r="16" ht="36" customHeight="1">
      <c r="A16" s="3" t="n"/>
      <c r="B16" s="3" t="n"/>
      <c r="C16" s="3" t="n"/>
      <c r="D16" s="3" t="n"/>
      <c r="E16" s="3" t="n"/>
      <c r="F16" s="3" t="n"/>
    </row>
    <row r="17" ht="36" customHeight="1">
      <c r="A17" s="3" t="n"/>
      <c r="B17" s="3" t="n"/>
      <c r="C17" s="3" t="n"/>
      <c r="D17" s="3" t="n"/>
      <c r="E17" s="3" t="n"/>
      <c r="F17" s="3" t="n"/>
    </row>
    <row r="18" ht="36" customHeight="1">
      <c r="A18" s="6" t="inlineStr">
        <is>
          <t>License Notes</t>
        </is>
      </c>
      <c r="B18" s="3" t="n"/>
      <c r="C18" s="3" t="n"/>
      <c r="D18" s="3" t="n"/>
      <c r="E18" s="3" t="n"/>
      <c r="F18" s="3" t="n"/>
    </row>
    <row r="19" ht="36" customHeight="1">
      <c r="A19" s="3" t="inlineStr">
        <is>
          <t>• Official Odoo pricing page states Standard and Custom include all apps for a single fee and all plans include support, hosting and maintenance.</t>
        </is>
      </c>
      <c r="B19" s="3" t="n"/>
      <c r="C19" s="3" t="n"/>
      <c r="D19" s="3" t="n"/>
      <c r="E19" s="3" t="n"/>
      <c r="F19" s="3" t="n"/>
    </row>
    <row r="20" ht="36" customHeight="1">
      <c r="A20" s="3" t="inlineStr">
        <is>
          <t>• Odoo pricing page notes implementation services, in-app purchase credits, Odoo.sh hosting for custom developments, and custom code maintenance are not included in license pricing.</t>
        </is>
      </c>
      <c r="B20" s="3" t="n"/>
      <c r="C20" s="3" t="n"/>
      <c r="D20" s="3" t="n"/>
      <c r="E20" s="3" t="n"/>
      <c r="F20" s="3" t="n"/>
    </row>
    <row r="21" ht="36" customHeight="1">
      <c r="A21" s="3" t="inlineStr">
        <is>
          <t>• Paid users are internal users accessing backend records. Customer/member portal users are not included as paid users per Odoo pricing FAQ.</t>
        </is>
      </c>
      <c r="B21" s="3" t="n"/>
      <c r="C21" s="3" t="n"/>
      <c r="D21" s="3" t="n"/>
      <c r="E21" s="3" t="n"/>
      <c r="F21" s="3" t="n"/>
    </row>
    <row r="22" ht="36" customHeight="1">
      <c r="A22" s="3" t="inlineStr">
        <is>
          <t>• Final subscription quote should be validated with Odoo/Odoo partner before contract signature because pricing and region/currency can change.</t>
        </is>
      </c>
      <c r="B22" s="3" t="n"/>
      <c r="C22" s="3" t="n"/>
      <c r="D22" s="3" t="n"/>
      <c r="E22" s="3" t="n"/>
      <c r="F22" s="3" t="n"/>
    </row>
  </sheetData>
  <autoFilter ref="A1:F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0" customWidth="1" min="3" max="3"/>
    <col width="16" customWidth="1" min="4" max="4"/>
    <col width="16" customWidth="1" min="5" max="5"/>
    <col width="56" customWidth="1" min="6" max="6"/>
  </cols>
  <sheetData>
    <row r="1" ht="24" customHeight="1">
      <c r="A1" s="10" t="inlineStr">
        <is>
          <t>Category</t>
        </is>
      </c>
      <c r="B1" s="10" t="inlineStr">
        <is>
          <t>Item</t>
        </is>
      </c>
      <c r="C1" s="10" t="inlineStr">
        <is>
          <t>Qty</t>
        </is>
      </c>
      <c r="D1" s="10" t="inlineStr">
        <is>
          <t>Unit Cost USD</t>
        </is>
      </c>
      <c r="E1" s="10" t="inlineStr">
        <is>
          <t>Estimated Cost</t>
        </is>
      </c>
      <c r="F1" s="10" t="inlineStr">
        <is>
          <t>Notes</t>
        </is>
      </c>
    </row>
    <row r="2" ht="36" customHeight="1">
      <c r="A2" s="5" t="inlineStr">
        <is>
          <t>POS Hardware</t>
        </is>
      </c>
      <c r="B2" s="5" t="inlineStr">
        <is>
          <t>Barcode scanners</t>
        </is>
      </c>
      <c r="C2" s="5" t="n">
        <v>2</v>
      </c>
      <c r="D2" s="7" t="n">
        <v>175</v>
      </c>
      <c r="E2" s="7">
        <f>C2*D2</f>
        <v/>
      </c>
      <c r="F2" s="5" t="inlineStr">
        <is>
          <t>Needed for BR-POS-001. Final model depends on POS device.</t>
        </is>
      </c>
    </row>
    <row r="3" ht="36" customHeight="1">
      <c r="A3" s="5" t="inlineStr">
        <is>
          <t>POS Hardware</t>
        </is>
      </c>
      <c r="B3" s="5" t="inlineStr">
        <is>
          <t>Receipt printers</t>
        </is>
      </c>
      <c r="C3" s="5" t="n">
        <v>2</v>
      </c>
      <c r="D3" s="7" t="n">
        <v>300</v>
      </c>
      <c r="E3" s="7">
        <f>C3*D3</f>
        <v/>
      </c>
      <c r="F3" s="5" t="inlineStr">
        <is>
          <t>Estimate only.</t>
        </is>
      </c>
    </row>
    <row r="4" ht="36" customHeight="1">
      <c r="A4" s="5" t="inlineStr">
        <is>
          <t>POS Hardware</t>
        </is>
      </c>
      <c r="B4" s="5" t="inlineStr">
        <is>
          <t>Cash drawers</t>
        </is>
      </c>
      <c r="C4" s="5" t="n">
        <v>2</v>
      </c>
      <c r="D4" s="7" t="n">
        <v>150</v>
      </c>
      <c r="E4" s="7">
        <f>C4*D4</f>
        <v/>
      </c>
      <c r="F4" s="5" t="inlineStr">
        <is>
          <t>Estimate only.</t>
        </is>
      </c>
    </row>
    <row r="5" ht="36" customHeight="1">
      <c r="A5" s="5" t="inlineStr">
        <is>
          <t>POS Hardware</t>
        </is>
      </c>
      <c r="B5" s="5" t="inlineStr">
        <is>
          <t>Label printer for inventory/barcodes</t>
        </is>
      </c>
      <c r="C5" s="5" t="n">
        <v>1</v>
      </c>
      <c r="D5" s="7" t="n">
        <v>450</v>
      </c>
      <c r="E5" s="7">
        <f>C5*D5</f>
        <v/>
      </c>
      <c r="F5" s="5" t="inlineStr">
        <is>
          <t>Useful for inventory SKU/barcode labels.</t>
        </is>
      </c>
    </row>
    <row r="6" ht="36" customHeight="1">
      <c r="A6" s="5" t="inlineStr">
        <is>
          <t>POS Hardware</t>
        </is>
      </c>
      <c r="B6" s="5" t="inlineStr">
        <is>
          <t>POS terminal/tablet/computer allowance</t>
        </is>
      </c>
      <c r="C6" s="5" t="n">
        <v>2</v>
      </c>
      <c r="D6" s="7" t="n">
        <v>850</v>
      </c>
      <c r="E6" s="7">
        <f>C6*D6</f>
        <v/>
      </c>
      <c r="F6" s="5" t="inlineStr">
        <is>
          <t>Use existing hardware if compatible.</t>
        </is>
      </c>
    </row>
    <row r="7" ht="36" customHeight="1">
      <c r="A7" s="5" t="inlineStr">
        <is>
          <t>Payments</t>
        </is>
      </c>
      <c r="B7" s="5" t="inlineStr">
        <is>
          <t>Payment terminals</t>
        </is>
      </c>
      <c r="C7" s="5" t="n">
        <v>2</v>
      </c>
      <c r="D7" s="7" t="n">
        <v>0</v>
      </c>
      <c r="E7" s="7">
        <f>C7*D7</f>
        <v/>
      </c>
      <c r="F7" s="5" t="inlineStr">
        <is>
          <t>Processor/provider quote required; not included.</t>
        </is>
      </c>
    </row>
    <row r="8" ht="36" customHeight="1">
      <c r="A8" s="5" t="inlineStr">
        <is>
          <t>Communications</t>
        </is>
      </c>
      <c r="B8" s="5" t="inlineStr">
        <is>
          <t>SMS / IAP credits</t>
        </is>
      </c>
      <c r="C8" s="5" t="n">
        <v>1</v>
      </c>
      <c r="D8" s="7" t="n">
        <v>0</v>
      </c>
      <c r="E8" s="7">
        <f>C8*D8</f>
        <v/>
      </c>
      <c r="F8" s="5" t="inlineStr">
        <is>
          <t>Odoo in-app purchase credits excluded from license.</t>
        </is>
      </c>
    </row>
    <row r="9" ht="36" customHeight="1">
      <c r="A9" s="5" t="inlineStr">
        <is>
          <t>Payroll</t>
        </is>
      </c>
      <c r="B9" s="5" t="inlineStr">
        <is>
          <t>US payroll provider/subscription</t>
        </is>
      </c>
      <c r="C9" s="5" t="n">
        <v>1</v>
      </c>
      <c r="D9" s="7" t="n">
        <v>0</v>
      </c>
      <c r="E9" s="7">
        <f>C9*D9</f>
        <v/>
      </c>
      <c r="F9" s="5" t="inlineStr">
        <is>
          <t>Provider cost and compliance model to be confirmed.</t>
        </is>
      </c>
    </row>
    <row r="10" ht="36" customHeight="1">
      <c r="A10" s="5" t="inlineStr">
        <is>
          <t>Data</t>
        </is>
      </c>
      <c r="B10" s="5" t="inlineStr">
        <is>
          <t>Sage 50 export/support assistance</t>
        </is>
      </c>
      <c r="C10" s="5" t="n">
        <v>1</v>
      </c>
      <c r="D10" s="7" t="n">
        <v>0</v>
      </c>
      <c r="E10" s="7">
        <f>C10*D10</f>
        <v/>
      </c>
      <c r="F10" s="5" t="inlineStr">
        <is>
          <t>May be handled by client or vendor.</t>
        </is>
      </c>
    </row>
    <row r="11" ht="36" customHeight="1">
      <c r="A11" s="5" t="inlineStr">
        <is>
          <t>Travel</t>
        </is>
      </c>
      <c r="B11" s="5" t="inlineStr">
        <is>
          <t>Onsite travel and expenses</t>
        </is>
      </c>
      <c r="C11" s="5" t="n">
        <v>1</v>
      </c>
      <c r="D11" s="7" t="n">
        <v>0</v>
      </c>
      <c r="E11" s="7">
        <f>C11*D11</f>
        <v/>
      </c>
      <c r="F11" s="5" t="inlineStr">
        <is>
          <t>Remote implementation assumed. Add if onsite required.</t>
        </is>
      </c>
    </row>
    <row r="12" ht="36" customHeight="1">
      <c r="A12" s="5" t="inlineStr">
        <is>
          <t>Contingency</t>
        </is>
      </c>
      <c r="B12" s="5" t="inlineStr">
        <is>
          <t>Hardware contingency</t>
        </is>
      </c>
      <c r="C12" s="5" t="n">
        <v>1</v>
      </c>
      <c r="D12" s="7">
        <f>SUM(E2:E11)*0.10</f>
        <v/>
      </c>
      <c r="E12" s="7">
        <f>C12*D12</f>
        <v/>
      </c>
      <c r="F12" s="5" t="inlineStr">
        <is>
          <t>10% hardware contingency.</t>
        </is>
      </c>
    </row>
    <row r="13" ht="36" customHeight="1">
      <c r="A13" s="3" t="n"/>
      <c r="B13" s="3" t="n"/>
      <c r="C13" s="3" t="n"/>
      <c r="D13" s="3" t="n"/>
      <c r="E13" s="3" t="n"/>
      <c r="F13" s="3" t="n"/>
    </row>
    <row r="14" ht="36" customHeight="1">
      <c r="A14" s="3" t="n"/>
      <c r="B14" s="3" t="n"/>
      <c r="C14" s="3" t="n"/>
      <c r="D14" s="3" t="n"/>
      <c r="E14" s="3" t="n"/>
      <c r="F14" s="3" t="n"/>
    </row>
    <row r="15" ht="36" customHeight="1">
      <c r="A15" s="3" t="n"/>
      <c r="B15" s="3" t="n"/>
      <c r="C15" s="3" t="n"/>
      <c r="D15" s="3" t="n"/>
      <c r="E15" s="3" t="n"/>
      <c r="F15" s="3" t="n"/>
    </row>
    <row r="16" ht="36" customHeight="1">
      <c r="A16" s="3" t="n"/>
      <c r="B16" s="3" t="n"/>
      <c r="C16" s="3" t="n"/>
      <c r="D16" s="8" t="inlineStr">
        <is>
          <t>Total</t>
        </is>
      </c>
      <c r="E16" s="9">
        <f>SUM(E2:E12)</f>
        <v/>
      </c>
      <c r="F16" s="3" t="n"/>
    </row>
  </sheetData>
  <autoFilter ref="A1:F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46" customWidth="1" min="4" max="4"/>
    <col width="18" customWidth="1" min="5" max="5"/>
    <col width="18" customWidth="1" min="6" max="6"/>
    <col width="44" customWidth="1" min="7" max="7"/>
  </cols>
  <sheetData>
    <row r="1" ht="24" customHeight="1">
      <c r="A1" s="10" t="inlineStr">
        <is>
          <t>Phase</t>
        </is>
      </c>
      <c r="B1" s="10" t="inlineStr">
        <is>
          <t>BRD Priority</t>
        </is>
      </c>
      <c r="C1" s="10" t="inlineStr">
        <is>
          <t>Workstreams</t>
        </is>
      </c>
      <c r="D1" s="10" t="inlineStr">
        <is>
          <t>Target Outcome</t>
        </is>
      </c>
      <c r="E1" s="10" t="inlineStr">
        <is>
          <t>Estimated Base Hours</t>
        </is>
      </c>
      <c r="F1" s="10" t="inlineStr">
        <is>
          <t>Estimated Cost</t>
        </is>
      </c>
      <c r="G1" s="10" t="inlineStr">
        <is>
          <t>Notes</t>
        </is>
      </c>
    </row>
    <row r="2" ht="36" customHeight="1">
      <c r="A2" s="5" t="inlineStr">
        <is>
          <t>Phase 0</t>
        </is>
      </c>
      <c r="B2" s="5" t="inlineStr">
        <is>
          <t>Initiation</t>
        </is>
      </c>
      <c r="C2" s="5" t="inlineStr">
        <is>
          <t>Discovery, blueprint, project governance, base setup</t>
        </is>
      </c>
      <c r="D2" s="5" t="inlineStr">
        <is>
          <t>Validated solution design, backlog, environment readiness</t>
        </is>
      </c>
      <c r="E2" s="11">
        <f>SUM('Implementation Cost'!G2:G4)</f>
        <v/>
      </c>
      <c r="F2" s="7">
        <f>E2*Assumptions!$B$3</f>
        <v/>
      </c>
      <c r="G2" s="5" t="inlineStr">
        <is>
          <t>Before configuration build.</t>
        </is>
      </c>
    </row>
    <row r="3" ht="36" customHeight="1">
      <c r="A3" s="5" t="inlineStr">
        <is>
          <t>Phase 1</t>
        </is>
      </c>
      <c r="B3" s="5" t="inlineStr">
        <is>
          <t>Core Operations</t>
        </is>
      </c>
      <c r="C3" s="5" t="inlineStr">
        <is>
          <t>CRM, memberships, court scheduling, programs, POS, inventory, AR/customer billing</t>
        </is>
      </c>
      <c r="D3" s="5" t="inlineStr">
        <is>
          <t>Front desk and daily operational workflows ready for UAT</t>
        </is>
      </c>
      <c r="E3" s="11">
        <f>SUM('Implementation Cost'!G5:G10)</f>
        <v/>
      </c>
      <c r="F3" s="7">
        <f>E3*Assumptions!$B$3</f>
        <v/>
      </c>
      <c r="G3" s="5" t="inlineStr">
        <is>
          <t>Matches BRD Phase 1 core operations.</t>
        </is>
      </c>
    </row>
    <row r="4" ht="36" customHeight="1">
      <c r="A4" s="5" t="inlineStr">
        <is>
          <t>Phase 2</t>
        </is>
      </c>
      <c r="B4" s="5" t="inlineStr">
        <is>
          <t>Financial Management</t>
        </is>
      </c>
      <c r="C4" s="5" t="inlineStr">
        <is>
          <t>Purchasing, AP, GL, bank reconciliation, payroll/HR, approvals</t>
        </is>
      </c>
      <c r="D4" s="5" t="inlineStr">
        <is>
          <t>Financial workflows and payroll/HR aligned to accounting close</t>
        </is>
      </c>
      <c r="E4" s="11">
        <f>SUM('Implementation Cost'!G11:G12)+'Implementation Cost'!G17</f>
        <v/>
      </c>
      <c r="F4" s="7">
        <f>E4*Assumptions!$B$3</f>
        <v/>
      </c>
      <c r="G4" s="5" t="inlineStr">
        <is>
          <t>Matches BRD Phase 2 and security requirements.</t>
        </is>
      </c>
    </row>
    <row r="5" ht="36" customHeight="1">
      <c r="A5" s="5" t="inlineStr">
        <is>
          <t>Phase 3</t>
        </is>
      </c>
      <c r="B5" s="5" t="inlineStr">
        <is>
          <t>Reporting &amp; Documents</t>
        </is>
      </c>
      <c r="C5" s="5" t="inlineStr">
        <is>
          <t>Documents, Sign, communications, portal, dashboards, reports</t>
        </is>
      </c>
      <c r="D5" s="5" t="inlineStr">
        <is>
          <t>Management visibility and customer-facing communication flows</t>
        </is>
      </c>
      <c r="E5" s="11">
        <f>SUM('Implementation Cost'!G13:G15)</f>
        <v/>
      </c>
      <c r="F5" s="7">
        <f>E5*Assumptions!$B$3</f>
        <v/>
      </c>
      <c r="G5" s="5" t="inlineStr">
        <is>
          <t>Includes optional online booking readiness.</t>
        </is>
      </c>
    </row>
    <row r="6" ht="36" customHeight="1">
      <c r="A6" s="5" t="inlineStr">
        <is>
          <t>Phase 4</t>
        </is>
      </c>
      <c r="B6" s="5" t="inlineStr">
        <is>
          <t>Migration, QA &amp; Go-Live</t>
        </is>
      </c>
      <c r="C6" s="5" t="inlineStr">
        <is>
          <t>Data migration, testing, training, cutover, stabilization</t>
        </is>
      </c>
      <c r="D6" s="5" t="inlineStr">
        <is>
          <t>Validated migration, UAT acceptance, go-live, 30-day stabilization</t>
        </is>
      </c>
      <c r="E6" s="11">
        <f>SUM('Implementation Cost'!G16:G16)+SUM('Implementation Cost'!G18:G20)</f>
        <v/>
      </c>
      <c r="F6" s="7">
        <f>E6*Assumptions!$B$3</f>
        <v/>
      </c>
      <c r="G6" s="5" t="inlineStr">
        <is>
          <t>Final acceptance criteria and cutover.</t>
        </is>
      </c>
    </row>
    <row r="7" ht="36" customHeight="1">
      <c r="A7" s="3" t="n"/>
      <c r="B7" s="3" t="n"/>
      <c r="C7" s="3" t="n"/>
      <c r="D7" s="3" t="n"/>
      <c r="E7" s="3" t="n"/>
      <c r="F7" s="3" t="n"/>
      <c r="G7" s="3" t="n"/>
    </row>
    <row r="8" ht="36" customHeight="1">
      <c r="A8" s="3" t="n"/>
      <c r="B8" s="3" t="n"/>
      <c r="C8" s="3" t="n"/>
      <c r="D8" s="8" t="inlineStr">
        <is>
          <t>Subtotal by phases</t>
        </is>
      </c>
      <c r="E8" s="8">
        <f>SUM(E2:E6)</f>
        <v/>
      </c>
      <c r="F8" s="9">
        <f>SUM(F2:F6)</f>
        <v/>
      </c>
      <c r="G8" s="3" t="n"/>
    </row>
  </sheetData>
  <autoFilter ref="A1: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  <col width="18" customWidth="1" min="2" max="2"/>
    <col width="24" customWidth="1" min="3" max="3"/>
  </cols>
  <sheetData>
    <row r="1" ht="24" customHeight="1">
      <c r="A1" s="12" t="inlineStr">
        <is>
          <t>Assumptions and Exclusions</t>
        </is>
      </c>
      <c r="B1" s="3" t="n"/>
      <c r="C1" s="3" t="n"/>
    </row>
    <row r="2" ht="36" customHeight="1">
      <c r="A2" s="3" t="n"/>
      <c r="B2" s="3" t="n"/>
      <c r="C2" s="3" t="n"/>
    </row>
    <row r="3" ht="36" customHeight="1">
      <c r="A3" s="5" t="inlineStr">
        <is>
          <t>Implementation hourly rate USD</t>
        </is>
      </c>
      <c r="B3" s="7" t="n">
        <v>95</v>
      </c>
      <c r="C3" s="5" t="inlineStr">
        <is>
          <t>Editable</t>
        </is>
      </c>
    </row>
    <row r="4" ht="36" customHeight="1">
      <c r="A4" s="5" t="inlineStr">
        <is>
          <t>Implementation contingency %</t>
        </is>
      </c>
      <c r="B4" s="15" t="n">
        <v>0.1</v>
      </c>
      <c r="C4" s="5" t="inlineStr">
        <is>
          <t>Editable</t>
        </is>
      </c>
    </row>
    <row r="5" ht="36" customHeight="1">
      <c r="A5" s="5" t="inlineStr">
        <is>
          <t>Paid internal users</t>
        </is>
      </c>
      <c r="B5" s="5" t="n">
        <v>12</v>
      </c>
      <c r="C5" s="5" t="inlineStr">
        <is>
          <t>Editable in Odoo License Cost sheet</t>
        </is>
      </c>
    </row>
    <row r="6" ht="36" customHeight="1">
      <c r="A6" s="3" t="n"/>
      <c r="B6" s="3" t="n"/>
      <c r="C6" s="3" t="n"/>
    </row>
    <row r="7" ht="36" customHeight="1">
      <c r="A7" s="3" t="n"/>
      <c r="B7" s="3" t="n"/>
      <c r="C7" s="3" t="n"/>
    </row>
    <row r="8" ht="36" customHeight="1">
      <c r="A8" s="6" t="inlineStr">
        <is>
          <t>Key Assumptions</t>
        </is>
      </c>
      <c r="B8" s="3" t="n"/>
      <c r="C8" s="3" t="n"/>
    </row>
    <row r="9" ht="36" customHeight="1">
      <c r="A9" s="3" t="inlineStr">
        <is>
          <t>• The BRD is used as the pricing scope baseline; detailed fit-gap may change estimates.</t>
        </is>
      </c>
      <c r="B9" s="3" t="n"/>
      <c r="C9" s="3" t="n"/>
    </row>
    <row r="10" ht="36" customHeight="1">
      <c r="A10" s="3" t="inlineStr">
        <is>
          <t>• Configuration-first approach is assumed; custom development is limited to gaps not covered by standard Odoo, Studio, or supported modules.</t>
        </is>
      </c>
      <c r="B10" s="3" t="n"/>
      <c r="C10" s="3" t="n"/>
    </row>
    <row r="11" ht="36" customHeight="1">
      <c r="A11" s="3" t="inlineStr">
        <is>
          <t>• 12 paid internal users are assumed because the BRD defines roles but not exact staff count. Customer/member portal users are assumed free under Odoo pricing rules.</t>
        </is>
      </c>
      <c r="B11" s="3" t="n"/>
      <c r="C11" s="3" t="n"/>
    </row>
    <row r="12" ht="36" customHeight="1">
      <c r="A12" s="3" t="inlineStr">
        <is>
          <t>• Odoo Custom annual plan is recommended for budgeting due to custom modules/workflows, Odoo Studio/customization, API/integration possibility, and future online booking requirements.</t>
        </is>
      </c>
      <c r="B12" s="3" t="n"/>
      <c r="C12" s="3" t="n"/>
    </row>
    <row r="13" ht="36" customHeight="1">
      <c r="A13" s="3" t="inlineStr">
        <is>
          <t>• US payroll feasibility depends on chosen payroll method/provider and compliance requirements.</t>
        </is>
      </c>
      <c r="B13" s="3" t="n"/>
      <c r="C13" s="3" t="n"/>
    </row>
    <row r="14" ht="36" customHeight="1">
      <c r="A14" s="3" t="inlineStr">
        <is>
          <t>• Payment processor/terminal costs, SMS/IAP credits, Odoo.sh hosting, custom-code maintenance, and onsite travel are excluded unless explicitly added.</t>
        </is>
      </c>
      <c r="B14" s="3" t="n"/>
      <c r="C14" s="3" t="n"/>
    </row>
    <row r="15" ht="36" customHeight="1">
      <c r="A15" s="3" t="inlineStr">
        <is>
          <t>• Data migration estimate assumes client supplies usable Sage 50 exports, spreadsheets, and cleansed source files in agreed formats.</t>
        </is>
      </c>
      <c r="B15" s="3" t="n"/>
      <c r="C15" s="3" t="n"/>
    </row>
    <row r="16" ht="36" customHeight="1">
      <c r="A16" s="3" t="inlineStr">
        <is>
          <t>• Hardware estimates are placeholders and should be validated against selected POS devices and payment processor.</t>
        </is>
      </c>
      <c r="B16" s="3" t="n"/>
      <c r="C16" s="3" t="n"/>
    </row>
    <row r="17" ht="36" customHeight="1">
      <c r="A17" s="3" t="inlineStr">
        <is>
          <t>• All amounts are in USD and are planning estimates, not a binding quotation.</t>
        </is>
      </c>
      <c r="B17" s="3" t="n"/>
      <c r="C17" s="3" t="n"/>
    </row>
    <row r="18" ht="36" customHeight="1">
      <c r="A18" s="3" t="n"/>
      <c r="B18" s="3" t="n"/>
      <c r="C18" s="3" t="n"/>
    </row>
    <row r="19" ht="36" customHeight="1">
      <c r="A19" s="3" t="n"/>
      <c r="B19" s="3" t="n"/>
      <c r="C19" s="3" t="n"/>
    </row>
    <row r="20" ht="36" customHeight="1">
      <c r="A20" s="3" t="n"/>
      <c r="B20" s="3" t="n"/>
      <c r="C20" s="3" t="n"/>
    </row>
    <row r="21" ht="36" customHeight="1">
      <c r="A21" s="3" t="n"/>
      <c r="B21" s="3" t="n"/>
      <c r="C21" s="3" t="n"/>
    </row>
    <row r="22" ht="36" customHeight="1">
      <c r="A22" s="6" t="inlineStr">
        <is>
          <t>Out of Scope Unless Added by Change Order</t>
        </is>
      </c>
      <c r="B22" s="3" t="n"/>
      <c r="C22" s="3" t="n"/>
    </row>
    <row r="23" ht="36" customHeight="1">
      <c r="A23" s="3" t="inlineStr">
        <is>
          <t>• Website redesign/redevelopment beyond standard Odoo portal/website setup.</t>
        </is>
      </c>
      <c r="B23" s="3" t="n"/>
      <c r="C23" s="3" t="n"/>
    </row>
    <row r="24" ht="36" customHeight="1">
      <c r="A24" s="3" t="inlineStr">
        <is>
          <t>• Native mobile application development.</t>
        </is>
      </c>
      <c r="B24" s="3" t="n"/>
      <c r="C24" s="3" t="n"/>
    </row>
    <row r="25" ht="36" customHeight="1">
      <c r="A25" s="3" t="inlineStr">
        <is>
          <t>• Building automation systems and telephone system replacement.</t>
        </is>
      </c>
      <c r="B25" s="3" t="n"/>
      <c r="C25" s="3" t="n"/>
    </row>
    <row r="26" ht="36" customHeight="1">
      <c r="A26" s="3" t="inlineStr">
        <is>
          <t>• Non-Odoo custom software unrelated to documented BRD requirements.</t>
        </is>
      </c>
      <c r="B26" s="3" t="n"/>
      <c r="C26" s="3" t="n"/>
    </row>
    <row r="27" ht="36" customHeight="1">
      <c r="A27" s="3" t="inlineStr">
        <is>
          <t>• Historical transaction migration beyond agreed opening balances and active operational data.</t>
        </is>
      </c>
      <c r="B27" s="3" t="n"/>
      <c r="C27" s="3" t="n"/>
    </row>
    <row r="28" ht="36" customHeight="1">
      <c r="A28" s="3" t="inlineStr">
        <is>
          <t>• Ongoing managed support after 30-day stabilization unless contracted separately.</t>
        </is>
      </c>
      <c r="B28" s="3" t="n"/>
      <c r="C2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44" customWidth="1" min="3" max="3"/>
    <col width="64" customWidth="1" min="4" max="4"/>
  </cols>
  <sheetData>
    <row r="1" ht="24" customHeight="1">
      <c r="A1" s="10" t="inlineStr">
        <is>
          <t>Source</t>
        </is>
      </c>
      <c r="B1" s="10" t="inlineStr">
        <is>
          <t>URL / File</t>
        </is>
      </c>
      <c r="C1" s="10" t="inlineStr">
        <is>
          <t>Used For</t>
        </is>
      </c>
      <c r="D1" s="10" t="inlineStr">
        <is>
          <t>Notes</t>
        </is>
      </c>
    </row>
    <row r="2" ht="36" customHeight="1">
      <c r="A2" s="5" t="inlineStr">
        <is>
          <t>BRD PDF</t>
        </is>
      </c>
      <c r="B2" s="5" t="inlineStr">
        <is>
          <t>Fox Cities Racquet Club - Odoo Business Requirements Document v1 (1).pdf</t>
        </is>
      </c>
      <c r="C2" s="5" t="inlineStr">
        <is>
          <t>Implementation scope, workstreams, migration, roles, acceptance criteria</t>
        </is>
      </c>
      <c r="D2" s="5" t="inlineStr">
        <is>
          <t>Downloaded from attached signed URL on 2026-07-17.</t>
        </is>
      </c>
    </row>
    <row r="3" ht="36" customHeight="1">
      <c r="A3" s="5" t="inlineStr">
        <is>
          <t>Odoo Pricing</t>
        </is>
      </c>
      <c r="B3" s="5" t="inlineStr">
        <is>
          <t>https://www.odoo.com/pricing</t>
        </is>
      </c>
      <c r="C3" s="5" t="inlineStr">
        <is>
          <t>Plan inclusions, all-app pricing model, plan limitations/exclusions, paid user rule</t>
        </is>
      </c>
      <c r="D3" s="5" t="inlineStr">
        <is>
          <t>USD license rates used in workbook: Standard $24.90/$31.10 and Custom $37.40/$46.80 per user/month for annual/monthly billing. Confirm final quote with Odoo/partner.</t>
        </is>
      </c>
    </row>
    <row r="4" ht="36" customHeight="1">
      <c r="A4" s="5" t="inlineStr">
        <is>
          <t>Odoo Success Packs</t>
        </is>
      </c>
      <c r="B4" s="5" t="inlineStr">
        <is>
          <t>https://www.odoo.com/pricing-packs</t>
        </is>
      </c>
      <c r="C4" s="5" t="inlineStr">
        <is>
          <t>Benchmark reference for implementation activities and Odoo service exclusions</t>
        </is>
      </c>
      <c r="D4" s="5" t="inlineStr">
        <is>
          <t>Used as reference only; this workbook uses partner-style workstream estimate.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DearERP</dc:creator>
  <dc:title xmlns:dc="http://purl.org/dc/elements/1.1/">Fox Cities Racquet Club - Odoo Cost Estimate</dc:title>
  <dc:subject xmlns:dc="http://purl.org/dc/elements/1.1/">Cost estimate based on BRD</dc:subject>
  <dcterms:created xmlns:dcterms="http://purl.org/dc/terms/" xmlns:xsi="http://www.w3.org/2001/XMLSchema-instance" xsi:type="dcterms:W3CDTF">2026-07-17T05:36:35Z</dcterms:created>
  <dcterms:modified xmlns:dcterms="http://purl.org/dc/terms/" xmlns:xsi="http://www.w3.org/2001/XMLSchema-instance" xsi:type="dcterms:W3CDTF">2026-07-17T05:36:35Z</dcterms:modified>
</cp:coreProperties>
</file>