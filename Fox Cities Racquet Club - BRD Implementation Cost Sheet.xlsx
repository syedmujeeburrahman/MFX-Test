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plementation Cost" sheetId="2" state="visible" r:id="rId2"/>
    <sheet xmlns:r="http://schemas.openxmlformats.org/officeDocument/2006/relationships" name="Odoo License Cost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BRD Traceability" sheetId="5" state="visible" r:id="rId5"/>
    <sheet xmlns:r="http://schemas.openxmlformats.org/officeDocument/2006/relationships" name="Exclusions &amp; Notes" sheetId="6" state="visible" r:id="rId6"/>
  </sheets>
  <definedNames>
    <definedName name="_xlnm._FilterDatabase" localSheetId="1" hidden="1">'Implementation Cost'!$A$4:$L$19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pivotButton="0" quotePrefix="0" xfId="0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9" fontId="0" fillId="0" borderId="1" applyAlignment="1" pivotButton="0" quotePrefix="0" xfId="0">
      <alignment vertical="top" wrapText="1"/>
    </xf>
    <xf numFmtId="9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DearERP</author>
  </authors>
  <commentList>
    <comment ref="G5" authorId="0" shapeId="0">
      <text>
        <t>Base hours are planning estimates. Edit low/base/high hours to revise costs.</t>
      </text>
    </comment>
  </commentList>
</comments>
</file>

<file path=xl/comments/comment2.xml><?xml version="1.0" encoding="utf-8"?>
<comments xmlns="http://schemas.openxmlformats.org/spreadsheetml/2006/main">
  <authors>
    <author>DearERP</author>
  </authors>
  <commentList>
    <comment ref="B5" authorId="0" shapeId="0">
      <text>
        <t>BRD lists roles, not named user count. Update Assumptions if FCRC confirms a different number.</t>
      </text>
    </comment>
  </commentList>
</comments>
</file>

<file path=xl/tables/table1.xml><?xml version="1.0" encoding="utf-8"?>
<table xmlns="http://schemas.openxmlformats.org/spreadsheetml/2006/main" id="1" name="ImplementationCostTable" displayName="ImplementationCostTable" ref="A4:L19" headerRowCount="1">
  <autoFilter ref="A4:L19"/>
  <tableColumns count="12">
    <tableColumn id="1" name="WBS"/>
    <tableColumn id="2" name="Phase / Workstream"/>
    <tableColumn id="3" name="BRD Reference"/>
    <tableColumn id="4" name="Scope Included"/>
    <tableColumn id="5" name="Odoo Apps / Components"/>
    <tableColumn id="6" name="Low Hours"/>
    <tableColumn id="7" name="Base Hours"/>
    <tableColumn id="8" name="High Hours"/>
    <tableColumn id="9" name="Rate"/>
    <tableColumn id="10" name="Base Cost"/>
    <tableColumn id="11" name="Risk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72" customWidth="1" min="4" max="4"/>
    <col width="2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Fox Cities Racquet Club - BRD Implementation Cost Sheet</t>
        </is>
      </c>
    </row>
    <row r="2">
      <c r="A2" s="2" t="inlineStr">
        <is>
          <t>Prepared from attached BRD/SOW dated 2026-07-17. Currency: USD. Summary shows implementation services only.</t>
        </is>
      </c>
    </row>
    <row r="3"/>
    <row r="4">
      <c r="A4" s="3" t="inlineStr">
        <is>
          <t>Prepared for</t>
        </is>
      </c>
      <c r="B4" s="3" t="inlineStr">
        <is>
          <t>Fox Cities Racquet Club</t>
        </is>
      </c>
      <c r="C4" s="3" t="inlineStr"/>
      <c r="D4" s="3" t="inlineStr">
        <is>
          <t>Cost Basis</t>
        </is>
      </c>
      <c r="E4" s="3" t="inlineStr">
        <is>
          <t>Attached BRD/SOW implementation scope</t>
        </is>
      </c>
      <c r="F4" s="3" t="n"/>
      <c r="G4" s="3" t="n"/>
      <c r="H4" s="3" t="n"/>
    </row>
    <row r="5" ht="54" customHeight="1">
      <c r="A5" s="3" t="inlineStr">
        <is>
          <t>Prospect address</t>
        </is>
      </c>
      <c r="B5" s="3" t="inlineStr">
        <is>
          <t>Fox Cities Racquet Club
2915 N. Victory Lane
Appleton, WI 54913</t>
        </is>
      </c>
      <c r="C5" s="3" t="inlineStr"/>
      <c r="D5" s="3" t="inlineStr">
        <is>
          <t>Source</t>
        </is>
      </c>
      <c r="E5" s="3" t="inlineStr">
        <is>
          <t>foxcitiesracquetclub.com Location/Hours</t>
        </is>
      </c>
      <c r="F5" s="3" t="n"/>
      <c r="G5" s="3" t="n"/>
      <c r="H5" s="3" t="n"/>
    </row>
    <row r="6">
      <c r="A6" s="3" t="inlineStr">
        <is>
          <t>Phone</t>
        </is>
      </c>
      <c r="B6" s="3" t="inlineStr">
        <is>
          <t>920.739.0221</t>
        </is>
      </c>
      <c r="C6" s="3" t="inlineStr"/>
      <c r="D6" s="3" t="inlineStr">
        <is>
          <t>Website</t>
        </is>
      </c>
      <c r="E6" s="3" t="inlineStr">
        <is>
          <t>https://www.foxcitiesracquetclub.com/</t>
        </is>
      </c>
      <c r="F6" s="3" t="n"/>
      <c r="G6" s="3" t="n"/>
      <c r="H6" s="3" t="n"/>
    </row>
    <row r="7">
      <c r="A7" s="3" t="inlineStr">
        <is>
          <t>Prepared date</t>
        </is>
      </c>
      <c r="B7" s="3" t="inlineStr">
        <is>
          <t>2026-07-17</t>
        </is>
      </c>
      <c r="C7" s="3" t="inlineStr"/>
      <c r="D7" s="3" t="inlineStr">
        <is>
          <t>Implementation rate</t>
        </is>
      </c>
      <c r="E7" s="3">
        <f>Assumptions!B5</f>
        <v/>
      </c>
      <c r="F7" s="3" t="n"/>
      <c r="G7" s="3" t="n"/>
      <c r="H7" s="3" t="n"/>
    </row>
    <row r="8">
      <c r="A8" s="3" t="inlineStr">
        <is>
          <t>Currency</t>
        </is>
      </c>
      <c r="B8" s="3">
        <f>Assumptions!B4</f>
        <v/>
      </c>
      <c r="C8" s="3" t="inlineStr"/>
      <c r="D8" s="3" t="inlineStr">
        <is>
          <t>Contingency</t>
        </is>
      </c>
      <c r="E8" s="12" t="inlineStr">
        <is>
          <t>Removed</t>
        </is>
      </c>
      <c r="F8" s="3" t="n"/>
      <c r="G8" s="3" t="n"/>
      <c r="H8" s="3" t="n"/>
    </row>
    <row r="9"/>
    <row r="10">
      <c r="A10" s="5" t="inlineStr">
        <is>
          <t>Cost Summary</t>
        </is>
      </c>
      <c r="B10" s="5" t="inlineStr">
        <is>
          <t>Monthly Equivalent</t>
        </is>
      </c>
      <c r="C10" s="5" t="inlineStr">
        <is>
          <t>One-Time</t>
        </is>
      </c>
      <c r="D10" s="5" t="inlineStr">
        <is>
          <t>Notes</t>
        </is>
      </c>
      <c r="E10" s="22" t="n"/>
      <c r="F10" s="22" t="n"/>
      <c r="G10" s="22" t="n"/>
      <c r="H10" s="22" t="n"/>
    </row>
    <row r="11">
      <c r="A11" s="8" t="inlineStr">
        <is>
          <t>Estimated implementation total</t>
        </is>
      </c>
      <c r="B11" s="8" t="inlineStr"/>
      <c r="C11" s="19">
        <f>'Implementation Cost'!J21</f>
        <v/>
      </c>
      <c r="D11" s="8" t="inlineStr">
        <is>
          <t>Implementation services only; no contingency buffer included.</t>
        </is>
      </c>
    </row>
    <row r="12"/>
    <row r="13"/>
    <row r="14">
      <c r="A14" s="5" t="inlineStr">
        <is>
          <t>Payment Terms</t>
        </is>
      </c>
      <c r="B14" s="22" t="n"/>
      <c r="C14" s="22" t="n"/>
      <c r="D14" s="22" t="n"/>
      <c r="E14" s="22" t="n"/>
      <c r="F14" s="22" t="n"/>
      <c r="G14" s="22" t="n"/>
      <c r="H14" s="22" t="n"/>
    </row>
    <row r="15">
      <c r="A15" s="5" t="inlineStr">
        <is>
          <t>Milestone</t>
        </is>
      </c>
      <c r="B15" s="5" t="inlineStr">
        <is>
          <t>Percentage</t>
        </is>
      </c>
      <c r="C15" s="5" t="inlineStr">
        <is>
          <t>Amount</t>
        </is>
      </c>
      <c r="D15" s="5" t="inlineStr">
        <is>
          <t>Notes</t>
        </is>
      </c>
      <c r="E15" s="22" t="n"/>
      <c r="F15" s="22" t="n"/>
      <c r="G15" s="22" t="n"/>
      <c r="H15" s="22" t="n"/>
    </row>
    <row r="16">
      <c r="A16" s="3" t="inlineStr">
        <is>
          <t>Advance payment</t>
        </is>
      </c>
      <c r="B16" s="23" t="n">
        <v>0.5</v>
      </c>
      <c r="C16" s="17">
        <f>$C$11*B16</f>
        <v/>
      </c>
      <c r="D16" s="3" t="inlineStr">
        <is>
          <t>Due before project kickoff.</t>
        </is>
      </c>
    </row>
    <row r="17">
      <c r="A17" s="3" t="inlineStr">
        <is>
          <t>On UAT</t>
        </is>
      </c>
      <c r="B17" s="23" t="n">
        <v>0.35</v>
      </c>
      <c r="C17" s="17">
        <f>$C$11*B17</f>
        <v/>
      </c>
      <c r="D17" s="3" t="inlineStr">
        <is>
          <t>Due on UAT readiness / UAT start.</t>
        </is>
      </c>
    </row>
    <row r="18">
      <c r="A18" s="3" t="inlineStr">
        <is>
          <t>On go live</t>
        </is>
      </c>
      <c r="B18" s="23" t="n">
        <v>0.15</v>
      </c>
      <c r="C18" s="17">
        <f>$C$11*B18</f>
        <v/>
      </c>
      <c r="D18" s="3" t="inlineStr">
        <is>
          <t>Due on production go-live.</t>
        </is>
      </c>
    </row>
    <row r="19">
      <c r="A19" s="8" t="inlineStr">
        <is>
          <t>Total</t>
        </is>
      </c>
      <c r="B19" s="24">
        <f>SUM(B16:B18)</f>
        <v/>
      </c>
      <c r="C19" s="19">
        <f>SUM(C16:C18)</f>
        <v/>
      </c>
      <c r="D19" s="8" t="inlineStr">
        <is>
          <t>Matches implementation total.</t>
        </is>
      </c>
    </row>
    <row r="20"/>
    <row r="21"/>
    <row r="22">
      <c r="A22" s="5" t="inlineStr">
        <is>
          <t>Key Exclusions</t>
        </is>
      </c>
      <c r="B22" s="5" t="inlineStr">
        <is>
          <t>Hardware and IoT devices are not included. Any third-party connectivity will be studied and quoted separately.</t>
        </is>
      </c>
      <c r="C22" s="20" t="n"/>
      <c r="D22" s="20" t="n"/>
      <c r="E22" s="20" t="n"/>
      <c r="F22" s="20" t="n"/>
      <c r="G22" s="20" t="n"/>
      <c r="H22" s="21" t="n"/>
    </row>
    <row r="23"/>
    <row r="24"/>
    <row r="25">
      <c r="A25" s="5" t="inlineStr">
        <is>
          <t>Implementation Scope Highlights</t>
        </is>
      </c>
      <c r="B25" s="22" t="n"/>
      <c r="C25" s="22" t="n"/>
      <c r="D25" s="22" t="n"/>
      <c r="E25" s="22" t="n"/>
      <c r="F25" s="22" t="n"/>
      <c r="G25" s="22" t="n"/>
      <c r="H25" s="22" t="n"/>
    </row>
    <row r="26">
      <c r="B26" t="inlineStr">
        <is>
          <t>Custom court booking configuration, dashboard validation, conflict prevention, lifecycle, no-show indicators and booking invoicing.</t>
        </is>
      </c>
    </row>
    <row r="27">
      <c r="B27" t="inlineStr">
        <is>
          <t>Membership plans, membership year, prorated invoice wizard, member/non-member status and one-active-membership validation.</t>
        </is>
      </c>
    </row>
    <row r="28">
      <c r="B28" t="inlineStr">
        <is>
          <t>Retail product, inventory, purchase, sales, POS and barcode setup for pro-shop operations.</t>
        </is>
      </c>
    </row>
    <row r="29">
      <c r="B29" t="inlineStr">
        <is>
          <t>Accounting setup/validation for booking, membership, sales, POS and purchase flows.</t>
        </is>
      </c>
    </row>
    <row r="30">
      <c r="B30" t="inlineStr">
        <is>
          <t>CRM stages/opportunities, reporting pack, UAT, training and handover.</t>
        </is>
      </c>
    </row>
  </sheetData>
  <mergeCells count="3">
    <mergeCell ref="A2:H2"/>
    <mergeCell ref="B23:H23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64" customWidth="1" min="4" max="4"/>
    <col width="34" customWidth="1" min="5" max="5"/>
    <col width="11" customWidth="1" min="6" max="6"/>
    <col width="12" customWidth="1" min="7" max="7"/>
    <col width="11" customWidth="1" min="8" max="8"/>
    <col width="12" customWidth="1" min="9" max="9"/>
    <col width="14" customWidth="1" min="10" max="10"/>
    <col width="11" customWidth="1" min="11" max="11"/>
    <col width="54" customWidth="1" min="12" max="12"/>
  </cols>
  <sheetData>
    <row r="1">
      <c r="A1" s="1" t="inlineStr">
        <is>
          <t>Implementation Cost Estimate - Attached BRD Scope</t>
        </is>
      </c>
    </row>
    <row r="2">
      <c r="A2" s="2" t="inlineStr">
        <is>
          <t>Planning estimate only. Hardware, IoT devices, and third-party connectivity are excluded. Odoo subscription license remains on the separate license sheet and is not included in the implementation total.</t>
        </is>
      </c>
    </row>
    <row r="4">
      <c r="A4" s="4" t="inlineStr">
        <is>
          <t>WBS</t>
        </is>
      </c>
      <c r="B4" s="4" t="inlineStr">
        <is>
          <t>Phase / Workstream</t>
        </is>
      </c>
      <c r="C4" s="4" t="inlineStr">
        <is>
          <t>BRD Reference</t>
        </is>
      </c>
      <c r="D4" s="4" t="inlineStr">
        <is>
          <t>Scope Included</t>
        </is>
      </c>
      <c r="E4" s="4" t="inlineStr">
        <is>
          <t>Odoo Apps / Components</t>
        </is>
      </c>
      <c r="F4" s="4" t="inlineStr">
        <is>
          <t>Low Hours</t>
        </is>
      </c>
      <c r="G4" s="4" t="inlineStr">
        <is>
          <t>Base Hours</t>
        </is>
      </c>
      <c r="H4" s="4" t="inlineStr">
        <is>
          <t>High Hours</t>
        </is>
      </c>
      <c r="I4" s="4" t="inlineStr">
        <is>
          <t>Rate</t>
        </is>
      </c>
      <c r="J4" s="4" t="inlineStr">
        <is>
          <t>Base Cost</t>
        </is>
      </c>
      <c r="K4" s="4" t="inlineStr">
        <is>
          <t>Risk</t>
        </is>
      </c>
      <c r="L4" s="4" t="inlineStr">
        <is>
          <t>Notes</t>
        </is>
      </c>
    </row>
    <row r="5">
      <c r="A5" s="3" t="inlineStr">
        <is>
          <t>DISC</t>
        </is>
      </c>
      <c r="B5" s="3" t="inlineStr">
        <is>
          <t>Discovery and confirmation</t>
        </is>
      </c>
      <c r="C5" s="3" t="inlineStr">
        <is>
          <t>15 Phase 1</t>
        </is>
      </c>
      <c r="D5" s="3" t="inlineStr">
        <is>
          <t>Confirm courts, capacities, billing basis, operating hours, membership plans/prices/year, non-member fee, ball machine rate, product categories, POS payments and accounting mappings.</t>
        </is>
      </c>
      <c r="E5" s="3" t="inlineStr">
        <is>
          <t>Project, Knowledge</t>
        </is>
      </c>
      <c r="F5" s="3" t="n">
        <v>24</v>
      </c>
      <c r="G5" s="3" t="n">
        <v>32</v>
      </c>
      <c r="H5" s="3" t="n">
        <v>44</v>
      </c>
      <c r="I5" s="17">
        <f>Assumptions!$B$5</f>
        <v/>
      </c>
      <c r="J5" s="17">
        <f>G5*I5</f>
        <v/>
      </c>
      <c r="K5" s="11" t="inlineStr">
        <is>
          <t>Medium</t>
        </is>
      </c>
      <c r="L5" s="3" t="inlineStr">
        <is>
          <t>Includes configuration workbook, process maps and demo data list.</t>
        </is>
      </c>
    </row>
    <row r="6">
      <c r="A6" s="3" t="inlineStr">
        <is>
          <t>PM</t>
        </is>
      </c>
      <c r="B6" s="3" t="inlineStr">
        <is>
          <t>Project management and governance</t>
        </is>
      </c>
      <c r="C6" s="3" t="inlineStr">
        <is>
          <t>All phases</t>
        </is>
      </c>
      <c r="D6" s="3" t="inlineStr">
        <is>
          <t>Status meetings, RAID/change control, schedule coordination, UAT tracking and delivery administration.</t>
        </is>
      </c>
      <c r="E6" s="3" t="inlineStr">
        <is>
          <t>Project</t>
        </is>
      </c>
      <c r="F6" s="3" t="n">
        <v>25</v>
      </c>
      <c r="G6" s="3" t="n">
        <v>35</v>
      </c>
      <c r="H6" s="3" t="n">
        <v>50</v>
      </c>
      <c r="I6" s="17">
        <f>Assumptions!$B$5</f>
        <v/>
      </c>
      <c r="J6" s="17">
        <f>G6*I6</f>
        <v/>
      </c>
      <c r="K6" s="11" t="inlineStr">
        <is>
          <t>Medium</t>
        </is>
      </c>
      <c r="L6" s="3" t="inlineStr">
        <is>
          <t>Remote governance assumed.</t>
        </is>
      </c>
    </row>
    <row r="7">
      <c r="A7" s="3" t="inlineStr">
        <is>
          <t>BASE</t>
        </is>
      </c>
      <c r="B7" s="3" t="inlineStr">
        <is>
          <t>Base Odoo setup and access rights</t>
        </is>
      </c>
      <c r="C7" s="3" t="inlineStr">
        <is>
          <t>1, 14, 15</t>
        </is>
      </c>
      <c r="D7" s="3" t="inlineStr">
        <is>
          <t>Company settings, users, role/security baseline, apps readiness, email/basic system setup and standard module installation checks.</t>
        </is>
      </c>
      <c r="E7" s="3" t="inlineStr">
        <is>
          <t>Settings, Contacts, Discuss</t>
        </is>
      </c>
      <c r="F7" s="3" t="n">
        <v>18</v>
      </c>
      <c r="G7" s="3" t="n">
        <v>24</v>
      </c>
      <c r="H7" s="3" t="n">
        <v>34</v>
      </c>
      <c r="I7" s="17">
        <f>Assumptions!$B$5</f>
        <v/>
      </c>
      <c r="J7" s="17">
        <f>G7*I7</f>
        <v/>
      </c>
      <c r="K7" s="12" t="inlineStr">
        <is>
          <t>Low</t>
        </is>
      </c>
      <c r="L7" s="3" t="inlineStr">
        <is>
          <t>Does not include Odoo subscription or hosting fees.</t>
        </is>
      </c>
    </row>
    <row r="8">
      <c r="A8" s="3" t="inlineStr">
        <is>
          <t>COURT</t>
        </is>
      </c>
      <c r="B8" s="3" t="inlineStr">
        <is>
          <t>Custom court booking configuration and validation</t>
        </is>
      </c>
      <c r="C8" s="3" t="inlineStr">
        <is>
          <t>3, 4, 13.1, 13.2</t>
        </is>
      </c>
      <c r="D8" s="3" t="inlineStr">
        <is>
          <t>Configure courts, seat capacity, person/hour vs court/hour policies, rates, dashboard availability, conflict prevention, lifecycle states, start/end rules, no-show indicators and reminders.</t>
        </is>
      </c>
      <c r="E8" s="3" t="inlineStr">
        <is>
          <t>Custom FCRC Court Seat Booking, Accounting, Product, Web, Mail</t>
        </is>
      </c>
      <c r="F8" s="3" t="n">
        <v>70</v>
      </c>
      <c r="G8" s="3" t="n">
        <v>95</v>
      </c>
      <c r="H8" s="3" t="n">
        <v>135</v>
      </c>
      <c r="I8" s="17">
        <f>Assumptions!$B$5</f>
        <v/>
      </c>
      <c r="J8" s="17">
        <f>G8*I8</f>
        <v/>
      </c>
      <c r="K8" s="13" t="inlineStr">
        <is>
          <t>High</t>
        </is>
      </c>
      <c r="L8" s="3" t="inlineStr">
        <is>
          <t>Main custom-risk area; assumes the core custom module already exists and is being configured/validated for this demo scope.</t>
        </is>
      </c>
    </row>
    <row r="9">
      <c r="A9" s="3" t="inlineStr">
        <is>
          <t>MEM</t>
        </is>
      </c>
      <c r="B9" s="3" t="inlineStr">
        <is>
          <t>Membership configuration and invoicing</t>
        </is>
      </c>
      <c r="C9" s="3" t="inlineStr">
        <is>
          <t>5</t>
        </is>
      </c>
      <c r="D9" s="3" t="inlineStr">
        <is>
          <t>Membership years, plans, auto-created service products, proration rules, one-active-membership validation, member/non-member menus and booking pricing behavior.</t>
        </is>
      </c>
      <c r="E9" s="3" t="inlineStr">
        <is>
          <t>Contacts, Invoicing, Product, Custom membership models</t>
        </is>
      </c>
      <c r="F9" s="3" t="n">
        <v>38</v>
      </c>
      <c r="G9" s="3" t="n">
        <v>52</v>
      </c>
      <c r="H9" s="3" t="n">
        <v>74</v>
      </c>
      <c r="I9" s="17">
        <f>Assumptions!$B$5</f>
        <v/>
      </c>
      <c r="J9" s="17">
        <f>G9*I9</f>
        <v/>
      </c>
      <c r="K9" s="13" t="inlineStr">
        <is>
          <t>High</t>
        </is>
      </c>
      <c r="L9" s="3" t="inlineStr">
        <is>
          <t>Family eligibility automation is excluded per BRD.</t>
        </is>
      </c>
    </row>
    <row r="10">
      <c r="A10" s="3" t="inlineStr">
        <is>
          <t>BILL</t>
        </is>
      </c>
      <c r="B10" s="3" t="inlineStr">
        <is>
          <t>Booking billing and accounting integration</t>
        </is>
      </c>
      <c r="C10" s="3" t="inlineStr">
        <is>
          <t>4.8, 10, 15 Phase 4</t>
        </is>
      </c>
      <c r="D10" s="3" t="inlineStr">
        <is>
          <t>Income account mapping, court invoice lines, non-member entry fees, ball machine lines, invoice smart button/linkage, draft invoice delete behavior, posted invoice controls and scheduled-hours billing validation.</t>
        </is>
      </c>
      <c r="E10" s="3" t="inlineStr">
        <is>
          <t>Accounting, Invoicing, Custom booking module</t>
        </is>
      </c>
      <c r="F10" s="3" t="n">
        <v>35</v>
      </c>
      <c r="G10" s="3" t="n">
        <v>48</v>
      </c>
      <c r="H10" s="3" t="n">
        <v>70</v>
      </c>
      <c r="I10" s="17">
        <f>Assumptions!$B$5</f>
        <v/>
      </c>
      <c r="J10" s="17">
        <f>G10*I10</f>
        <v/>
      </c>
      <c r="K10" s="13" t="inlineStr">
        <is>
          <t>High</t>
        </is>
      </c>
      <c r="L10" s="3" t="inlineStr">
        <is>
          <t>Tax and revenue-account mapping require client approval.</t>
        </is>
      </c>
    </row>
    <row r="11">
      <c r="A11" s="3" t="inlineStr">
        <is>
          <t>INV</t>
        </is>
      </c>
      <c r="B11" s="3" t="inlineStr">
        <is>
          <t>Retail product and inventory setup</t>
        </is>
      </c>
      <c r="C11" s="3" t="inlineStr">
        <is>
          <t>6, 15 Phase 5</t>
        </is>
      </c>
      <c r="D11" s="3" t="inlineStr">
        <is>
          <t>Product categories, stockable retail products, SKU/barcode fields, sales/cost prices, initial quantities, vendors where available, reorder rules and stock availability review.</t>
        </is>
      </c>
      <c r="E11" s="3" t="inlineStr">
        <is>
          <t>Inventory, Product, Barcode</t>
        </is>
      </c>
      <c r="F11" s="3" t="n">
        <v>36</v>
      </c>
      <c r="G11" s="3" t="n">
        <v>50</v>
      </c>
      <c r="H11" s="3" t="n">
        <v>70</v>
      </c>
      <c r="I11" s="17">
        <f>Assumptions!$B$5</f>
        <v/>
      </c>
      <c r="J11" s="17">
        <f>G11*I11</f>
        <v/>
      </c>
      <c r="K11" s="11" t="inlineStr">
        <is>
          <t>Medium</t>
        </is>
      </c>
      <c r="L11" s="3" t="inlineStr">
        <is>
          <t>Physical inventory count and hardware are excluded.</t>
        </is>
      </c>
    </row>
    <row r="12">
      <c r="A12" s="3" t="inlineStr">
        <is>
          <t>PUR</t>
        </is>
      </c>
      <c r="B12" s="3" t="inlineStr">
        <is>
          <t>Purchase setup</t>
        </is>
      </c>
      <c r="C12" s="3" t="inlineStr">
        <is>
          <t>9, 15 Phase 6</t>
        </is>
      </c>
      <c r="D12" s="3" t="inlineStr">
        <is>
          <t>Vendor setup, vendor prices, RFQ/PO workflow, receipts into stock, vendor bill creation and purchase-to-accounting validation.</t>
        </is>
      </c>
      <c r="E12" s="3" t="inlineStr">
        <is>
          <t>Purchase, Inventory, Accounting</t>
        </is>
      </c>
      <c r="F12" s="3" t="n">
        <v>18</v>
      </c>
      <c r="G12" s="3" t="n">
        <v>26</v>
      </c>
      <c r="H12" s="3" t="n">
        <v>38</v>
      </c>
      <c r="I12" s="17">
        <f>Assumptions!$B$5</f>
        <v/>
      </c>
      <c r="J12" s="17">
        <f>G12*I12</f>
        <v/>
      </c>
      <c r="K12" s="11" t="inlineStr">
        <is>
          <t>Medium</t>
        </is>
      </c>
      <c r="L12" s="3" t="inlineStr">
        <is>
          <t>Vendor catalog integration, if any, is separate.</t>
        </is>
      </c>
    </row>
    <row r="13">
      <c r="A13" s="3" t="inlineStr">
        <is>
          <t>SALES</t>
        </is>
      </c>
      <c r="B13" s="3" t="inlineStr">
        <is>
          <t>Sales setup</t>
        </is>
      </c>
      <c r="C13" s="3" t="inlineStr">
        <is>
          <t>7, 15 Phase 7</t>
        </is>
      </c>
      <c r="D13" s="3" t="inlineStr">
        <is>
          <t>Sales quotation flow, retail product sales orders, sales order invoice validation, customer sales history and optional templates for group/corporate quotes.</t>
        </is>
      </c>
      <c r="E13" s="3" t="inlineStr">
        <is>
          <t>Sales, Invoicing, Contacts</t>
        </is>
      </c>
      <c r="F13" s="3" t="n">
        <v>16</v>
      </c>
      <c r="G13" s="3" t="n">
        <v>24</v>
      </c>
      <c r="H13" s="3" t="n">
        <v>34</v>
      </c>
      <c r="I13" s="17">
        <f>Assumptions!$B$5</f>
        <v/>
      </c>
      <c r="J13" s="17">
        <f>G13*I13</f>
        <v/>
      </c>
      <c r="K13" s="12" t="inlineStr">
        <is>
          <t>Low</t>
        </is>
      </c>
      <c r="L13" s="3" t="inlineStr">
        <is>
          <t>Event/group booking automation beyond quote flow is excluded.</t>
        </is>
      </c>
    </row>
    <row r="14">
      <c r="A14" s="3" t="inlineStr">
        <is>
          <t>POS</t>
        </is>
      </c>
      <c r="B14" s="3" t="inlineStr">
        <is>
          <t>Point of Sale setup</t>
        </is>
      </c>
      <c r="C14" s="3" t="inlineStr">
        <is>
          <t>8, 15 Phase 8</t>
        </is>
      </c>
      <c r="D14" s="3" t="inlineStr">
        <is>
          <t>POS shop/session, POS product categories, retail product availability, payment methods, POS sale validation, inventory deduction and accounting entry generation.</t>
        </is>
      </c>
      <c r="E14" s="3" t="inlineStr">
        <is>
          <t>Point of Sale, Inventory, Accounting</t>
        </is>
      </c>
      <c r="F14" s="3" t="n">
        <v>24</v>
      </c>
      <c r="G14" s="3" t="n">
        <v>34</v>
      </c>
      <c r="H14" s="3" t="n">
        <v>50</v>
      </c>
      <c r="I14" s="17">
        <f>Assumptions!$B$5</f>
        <v/>
      </c>
      <c r="J14" s="17">
        <f>G14*I14</f>
        <v/>
      </c>
      <c r="K14" s="11" t="inlineStr">
        <is>
          <t>Medium</t>
        </is>
      </c>
      <c r="L14" s="3" t="inlineStr">
        <is>
          <t>Payment terminals and processor fees are excluded.</t>
        </is>
      </c>
    </row>
    <row r="15">
      <c r="A15" s="3" t="inlineStr">
        <is>
          <t>BAR</t>
        </is>
      </c>
      <c r="B15" s="3" t="inlineStr">
        <is>
          <t>Barcode setup</t>
        </is>
      </c>
      <c r="C15" s="3" t="inlineStr">
        <is>
          <t>11, 15 Phase 9</t>
        </is>
      </c>
      <c r="D15" s="3" t="inlineStr">
        <is>
          <t>Barcode policy, barcode values on stockable products, scanning validation in POS, receipts and inventory adjustments, label-needs review.</t>
        </is>
      </c>
      <c r="E15" s="3" t="inlineStr">
        <is>
          <t>Barcode, Inventory, POS</t>
        </is>
      </c>
      <c r="F15" s="3" t="n">
        <v>14</v>
      </c>
      <c r="G15" s="3" t="n">
        <v>20</v>
      </c>
      <c r="H15" s="3" t="n">
        <v>30</v>
      </c>
      <c r="I15" s="17">
        <f>Assumptions!$B$5</f>
        <v/>
      </c>
      <c r="J15" s="17">
        <f>G15*I15</f>
        <v/>
      </c>
      <c r="K15" s="11" t="inlineStr">
        <is>
          <t>Medium</t>
        </is>
      </c>
      <c r="L15" s="3" t="inlineStr">
        <is>
          <t>Complex barcode label templates and scanners are excluded.</t>
        </is>
      </c>
    </row>
    <row r="16">
      <c r="A16" s="3" t="inlineStr">
        <is>
          <t>CRM</t>
        </is>
      </c>
      <c r="B16" s="3" t="inlineStr">
        <is>
          <t>CRM setup</t>
        </is>
      </c>
      <c r="C16" s="3" t="inlineStr">
        <is>
          <t>12, 15 Phase 10</t>
        </is>
      </c>
      <c r="D16" s="3" t="inlineStr">
        <is>
          <t>CRM stages, lead sources, sample opportunities, lead-to-contact conversion, quote/membership follow-up process.</t>
        </is>
      </c>
      <c r="E16" s="3" t="inlineStr">
        <is>
          <t>CRM, Sales, Contacts</t>
        </is>
      </c>
      <c r="F16" s="3" t="n">
        <v>14</v>
      </c>
      <c r="G16" s="3" t="n">
        <v>20</v>
      </c>
      <c r="H16" s="3" t="n">
        <v>30</v>
      </c>
      <c r="I16" s="17">
        <f>Assumptions!$B$5</f>
        <v/>
      </c>
      <c r="J16" s="17">
        <f>G16*I16</f>
        <v/>
      </c>
      <c r="K16" s="12" t="inlineStr">
        <is>
          <t>Low</t>
        </is>
      </c>
      <c r="L16" s="3" t="inlineStr">
        <is>
          <t>Marketing automation/campaign spend is excluded.</t>
        </is>
      </c>
    </row>
    <row r="17">
      <c r="A17" s="3" t="inlineStr">
        <is>
          <t>RPT</t>
        </is>
      </c>
      <c r="B17" s="3" t="inlineStr">
        <is>
          <t>Reports and dashboards</t>
        </is>
      </c>
      <c r="C17" s="3" t="inlineStr">
        <is>
          <t>13, 15 Phase 11</t>
        </is>
      </c>
      <c r="D17" s="3" t="inlineStr">
        <is>
          <t>Booking pivot/graph/list analysis, operational queues, daily summary review, and validation of standard accounting, sales, POS, inventory and purchase reports.</t>
        </is>
      </c>
      <c r="E17" s="3" t="inlineStr">
        <is>
          <t>Reporting, Dashboards, Accounting, Sales, Inventory, POS</t>
        </is>
      </c>
      <c r="F17" s="3" t="n">
        <v>24</v>
      </c>
      <c r="G17" s="3" t="n">
        <v>34</v>
      </c>
      <c r="H17" s="3" t="n">
        <v>50</v>
      </c>
      <c r="I17" s="17">
        <f>Assumptions!$B$5</f>
        <v/>
      </c>
      <c r="J17" s="17">
        <f>G17*I17</f>
        <v/>
      </c>
      <c r="K17" s="11" t="inlineStr">
        <is>
          <t>Medium</t>
        </is>
      </c>
      <c r="L17" s="3" t="inlineStr">
        <is>
          <t>Custom BI/warehouse dashboards are excluded.</t>
        </is>
      </c>
    </row>
    <row r="18">
      <c r="A18" s="3" t="inlineStr">
        <is>
          <t>UAT</t>
        </is>
      </c>
      <c r="B18" s="3" t="inlineStr">
        <is>
          <t>Testing and user acceptance</t>
        </is>
      </c>
      <c r="C18" s="3" t="inlineStr">
        <is>
          <t>15 Phase 12, 18</t>
        </is>
      </c>
      <c r="D18" s="3" t="inlineStr">
        <is>
          <t>UAT checklist and execution support for booking, membership, POS, sales, purchase, barcode, CRM and accounting scenarios; issue log and sign-off support.</t>
        </is>
      </c>
      <c r="E18" s="3" t="inlineStr">
        <is>
          <t>All implemented apps</t>
        </is>
      </c>
      <c r="F18" s="3" t="n">
        <v>30</v>
      </c>
      <c r="G18" s="3" t="n">
        <v>42</v>
      </c>
      <c r="H18" s="3" t="n">
        <v>60</v>
      </c>
      <c r="I18" s="17">
        <f>Assumptions!$B$5</f>
        <v/>
      </c>
      <c r="J18" s="17">
        <f>G18*I18</f>
        <v/>
      </c>
      <c r="K18" s="11" t="inlineStr">
        <is>
          <t>Medium</t>
        </is>
      </c>
      <c r="L18" s="3" t="inlineStr">
        <is>
          <t>Includes demo-scope UAT, not full historical parallel run.</t>
        </is>
      </c>
    </row>
    <row r="19">
      <c r="A19" s="3" t="inlineStr">
        <is>
          <t>TRN</t>
        </is>
      </c>
      <c r="B19" s="3" t="inlineStr">
        <is>
          <t>Training and handover</t>
        </is>
      </c>
      <c r="C19" s="3" t="inlineStr">
        <is>
          <t>15 Phase 13</t>
        </is>
      </c>
      <c r="D19" s="3" t="inlineStr">
        <is>
          <t>User training for court dashboard, booking lifecycle, membership invoicing, POS, inventory, purchase, accounting, CRM, reports; admin handover and basic guide.</t>
        </is>
      </c>
      <c r="E19" s="3" t="inlineStr">
        <is>
          <t>All implemented apps</t>
        </is>
      </c>
      <c r="F19" s="3" t="n">
        <v>16</v>
      </c>
      <c r="G19" s="3" t="n">
        <v>24</v>
      </c>
      <c r="H19" s="3" t="n">
        <v>34</v>
      </c>
      <c r="I19" s="17">
        <f>Assumptions!$B$5</f>
        <v/>
      </c>
      <c r="J19" s="17">
        <f>G19*I19</f>
        <v/>
      </c>
      <c r="K19" s="12" t="inlineStr">
        <is>
          <t>Low</t>
        </is>
      </c>
      <c r="L19" s="3" t="inlineStr">
        <is>
          <t>Remote training assumed.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19" t="inlineStr">
        <is>
          <t>Implementation subtotal</t>
        </is>
      </c>
      <c r="J20" s="19">
        <f>SUM(J5:J19)</f>
        <v/>
      </c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19" t="inlineStr">
        <is>
          <t>Estimated implementation total</t>
        </is>
      </c>
      <c r="J21" s="19">
        <f>J20</f>
        <v/>
      </c>
      <c r="K21" s="3" t="n"/>
      <c r="L21" s="3" t="n"/>
    </row>
  </sheetData>
  <autoFilter ref="A4:L19"/>
  <mergeCells count="2">
    <mergeCell ref="A2:L2"/>
    <mergeCell ref="A1:L1"/>
  </mergeCell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16" customWidth="1" min="3" max="3"/>
    <col width="20" customWidth="1" min="4" max="4"/>
    <col width="16" customWidth="1" min="5" max="5"/>
    <col width="14" customWidth="1" min="6" max="6"/>
    <col width="66" customWidth="1" min="7" max="7"/>
  </cols>
  <sheetData>
    <row r="1">
      <c r="A1" s="14" t="inlineStr">
        <is>
          <t>Odoo License Cost - Separate Sheet</t>
        </is>
      </c>
      <c r="B1" s="20" t="n"/>
      <c r="C1" s="20" t="n"/>
      <c r="D1" s="20" t="n"/>
      <c r="E1" s="20" t="n"/>
      <c r="F1" s="20" t="n"/>
      <c r="G1" s="21" t="n"/>
    </row>
    <row r="2">
      <c r="A2" s="3" t="inlineStr">
        <is>
          <t>License subscription estimate only. Implementation services, hardware, IoT, Odoo.sh/hosting, IAP/SMS credits, payment terminals and third-party connectivity are excluded.</t>
        </is>
      </c>
      <c r="B2" s="20" t="n"/>
      <c r="C2" s="20" t="n"/>
      <c r="D2" s="20" t="n"/>
      <c r="E2" s="20" t="n"/>
      <c r="F2" s="20" t="n"/>
      <c r="G2" s="21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Notes</t>
        </is>
      </c>
      <c r="D4" s="4" t="inlineStr"/>
      <c r="E4" s="4" t="inlineStr"/>
      <c r="F4" s="4" t="inlineStr"/>
      <c r="G4" s="4" t="inlineStr"/>
    </row>
    <row r="5">
      <c r="A5" s="3" t="inlineStr">
        <is>
          <t>Planning paid internal users</t>
        </is>
      </c>
      <c r="B5" s="12">
        <f>Assumptions!$B$7</f>
        <v/>
      </c>
      <c r="C5" s="3" t="inlineStr">
        <is>
          <t>Editable in Assumptions. BRD lists roles but not exact user count.</t>
        </is>
      </c>
      <c r="D5" s="3" t="n"/>
      <c r="E5" s="3" t="n"/>
      <c r="F5" s="3" t="n"/>
      <c r="G5" s="3" t="n"/>
    </row>
    <row r="6">
      <c r="A6" s="3" t="inlineStr">
        <is>
          <t>Standard annual list/user/month USD</t>
        </is>
      </c>
      <c r="B6" s="11" t="n">
        <v>24.9</v>
      </c>
      <c r="C6" s="3" t="inlineStr">
        <is>
          <t>Comparison only; not recommended for custom module/Odoo.sh deployment.</t>
        </is>
      </c>
      <c r="D6" s="3" t="n"/>
      <c r="E6" s="3" t="n"/>
      <c r="F6" s="3" t="n"/>
      <c r="G6" s="3" t="n"/>
    </row>
    <row r="7">
      <c r="A7" s="3" t="inlineStr">
        <is>
          <t>Standard monthly list/user/month USD</t>
        </is>
      </c>
      <c r="B7" s="11" t="n">
        <v>31.1</v>
      </c>
      <c r="C7" s="3" t="inlineStr">
        <is>
          <t>Comparison only.</t>
        </is>
      </c>
      <c r="D7" s="3" t="n"/>
      <c r="E7" s="3" t="n"/>
      <c r="F7" s="3" t="n"/>
      <c r="G7" s="3" t="n"/>
    </row>
    <row r="8">
      <c r="A8" s="3" t="inlineStr">
        <is>
          <t>Custom annual list/user/month USD</t>
        </is>
      </c>
      <c r="B8" s="11" t="n">
        <v>37.4</v>
      </c>
      <c r="C8" s="3" t="inlineStr">
        <is>
          <t>Recommended planning rate for Custom plan.</t>
        </is>
      </c>
      <c r="D8" s="3" t="n"/>
      <c r="E8" s="3" t="n"/>
      <c r="F8" s="3" t="n"/>
      <c r="G8" s="3" t="n"/>
    </row>
    <row r="9">
      <c r="A9" s="3" t="inlineStr">
        <is>
          <t>Custom monthly list/user/month USD</t>
        </is>
      </c>
      <c r="B9" s="11" t="n">
        <v>46.8</v>
      </c>
      <c r="C9" s="3" t="inlineStr">
        <is>
          <t>Month-to-month comparison only.</t>
        </is>
      </c>
      <c r="D9" s="3" t="n"/>
      <c r="E9" s="3" t="n"/>
      <c r="F9" s="3" t="n"/>
      <c r="G9" s="3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3" t="inlineStr">
        <is>
          <t>Plan Scenario</t>
        </is>
      </c>
      <c r="B11" s="3" t="inlineStr">
        <is>
          <t>Included</t>
        </is>
      </c>
      <c r="C11" s="3" t="inlineStr">
        <is>
          <t>Billing</t>
        </is>
      </c>
      <c r="D11" s="16" t="inlineStr">
        <is>
          <t>Monthly Equivalent</t>
        </is>
      </c>
      <c r="E11" s="16" t="inlineStr">
        <is>
          <t>Annual Cost</t>
        </is>
      </c>
      <c r="F11" s="3" t="inlineStr">
        <is>
          <t>Recommended</t>
        </is>
      </c>
      <c r="G11" s="3" t="inlineStr">
        <is>
          <t>Notes</t>
        </is>
      </c>
    </row>
    <row r="12">
      <c r="A12" s="3" t="inlineStr">
        <is>
          <t>Standard - annual list</t>
        </is>
      </c>
      <c r="B12" s="3" t="inlineStr">
        <is>
          <t>All apps, Odoo Online</t>
        </is>
      </c>
      <c r="C12" s="3" t="inlineStr">
        <is>
          <t>Annual</t>
        </is>
      </c>
      <c r="D12" s="16">
        <f>B5*B6</f>
        <v/>
      </c>
      <c r="E12" s="16">
        <f>D12*12</f>
        <v/>
      </c>
      <c r="F12" s="3" t="inlineStr">
        <is>
          <t>No</t>
        </is>
      </c>
      <c r="G12" s="3" t="inlineStr">
        <is>
          <t>Comparison only; no custom modules/Odoo.sh custom-code hosting.</t>
        </is>
      </c>
    </row>
    <row r="13">
      <c r="A13" s="3" t="inlineStr">
        <is>
          <t>Standard - monthly list</t>
        </is>
      </c>
      <c r="B13" s="3" t="inlineStr">
        <is>
          <t>All apps, Odoo Online</t>
        </is>
      </c>
      <c r="C13" s="3" t="inlineStr">
        <is>
          <t>Monthly</t>
        </is>
      </c>
      <c r="D13" s="16">
        <f>B5*B7</f>
        <v/>
      </c>
      <c r="E13" s="16">
        <f>D13*12</f>
        <v/>
      </c>
      <c r="F13" s="3" t="inlineStr">
        <is>
          <t>No</t>
        </is>
      </c>
      <c r="G13" s="3" t="inlineStr">
        <is>
          <t>Comparison only.</t>
        </is>
      </c>
    </row>
    <row r="14">
      <c r="A14" s="3" t="inlineStr">
        <is>
          <t>Custom - annual list</t>
        </is>
      </c>
      <c r="B14" s="3" t="inlineStr">
        <is>
          <t>All apps, Odoo Online/Odoo.sh/on-premise, Studio, Multi-Company, External API</t>
        </is>
      </c>
      <c r="C14" s="3" t="inlineStr">
        <is>
          <t>Annual</t>
        </is>
      </c>
      <c r="D14" s="16">
        <f>B5*B8</f>
        <v/>
      </c>
      <c r="E14" s="16">
        <f>D14*12</f>
        <v/>
      </c>
      <c r="F14" s="12" t="inlineStr">
        <is>
          <t>Yes</t>
        </is>
      </c>
      <c r="G14" s="3" t="inlineStr">
        <is>
          <t>Recommended for this BRD because the scope uses a custom court booking module and custom workflows.</t>
        </is>
      </c>
    </row>
    <row r="15">
      <c r="A15" s="3" t="inlineStr">
        <is>
          <t>Custom - monthly list</t>
        </is>
      </c>
      <c r="B15" s="3" t="inlineStr">
        <is>
          <t>All apps, Custom plan</t>
        </is>
      </c>
      <c r="C15" s="3" t="inlineStr">
        <is>
          <t>Monthly</t>
        </is>
      </c>
      <c r="D15" s="3">
        <f>B5*B9</f>
        <v/>
      </c>
      <c r="E15" s="3">
        <f>D15*12</f>
        <v/>
      </c>
      <c r="F15" s="3" t="inlineStr">
        <is>
          <t>No</t>
        </is>
      </c>
      <c r="G15" s="3" t="inlineStr">
        <is>
          <t>Comparison only; annual billing is usually cheaper.</t>
        </is>
      </c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3" t="inlineStr">
        <is>
          <t>License Notes</t>
        </is>
      </c>
      <c r="B17" s="3" t="inlineStr">
        <is>
          <t>Details</t>
        </is>
      </c>
      <c r="C17" s="3" t="inlineStr"/>
      <c r="D17" s="3" t="inlineStr"/>
      <c r="E17" s="3" t="inlineStr"/>
      <c r="F17" s="3" t="inlineStr"/>
      <c r="G17" s="3" t="inlineStr"/>
    </row>
    <row r="18">
      <c r="A18" s="3" t="inlineStr">
        <is>
          <t>Backend users</t>
        </is>
      </c>
      <c r="B18" s="3" t="inlineStr">
        <is>
          <t>Only internal/staff backend users are counted in this planning sheet; website/customer portal users are not treated as paid backend users.</t>
        </is>
      </c>
      <c r="C18" s="3" t="inlineStr"/>
      <c r="D18" s="3" t="inlineStr"/>
      <c r="E18" s="3" t="inlineStr"/>
      <c r="F18" s="3" t="inlineStr"/>
      <c r="G18" s="3" t="inlineStr"/>
    </row>
    <row r="19">
      <c r="A19" s="3" t="inlineStr">
        <is>
          <t>Official quote</t>
        </is>
      </c>
      <c r="B19" s="3" t="inlineStr">
        <is>
          <t>Final Odoo license cost must be confirmed by Odoo or the selling partner for the billing country and contract term.</t>
        </is>
      </c>
      <c r="C19" s="3" t="inlineStr"/>
      <c r="D19" s="3" t="inlineStr"/>
      <c r="E19" s="3" t="inlineStr"/>
      <c r="F19" s="3" t="inlineStr"/>
      <c r="G19" s="3" t="inlineStr"/>
    </row>
    <row r="20">
      <c r="A20" s="3" t="inlineStr">
        <is>
          <t>Separate from implementation</t>
        </is>
      </c>
      <c r="B20" s="3" t="inlineStr">
        <is>
          <t>Implementation estimate is on the Implementation Cost sheet and is not included here.</t>
        </is>
      </c>
      <c r="C20" s="3" t="inlineStr"/>
      <c r="D20" s="3" t="inlineStr"/>
      <c r="E20" s="3" t="inlineStr"/>
      <c r="F20" s="3" t="inlineStr"/>
      <c r="G20" s="3" t="inlineStr"/>
    </row>
  </sheetData>
  <mergeCells count="2">
    <mergeCell ref="A2:G2"/>
    <mergeCell ref="A1:G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2" customWidth="1" min="3" max="3"/>
  </cols>
  <sheetData>
    <row r="1">
      <c r="A1" s="1" t="inlineStr">
        <is>
          <t>Assumptions and Editable Inputs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Notes</t>
        </is>
      </c>
    </row>
    <row r="4">
      <c r="A4" s="3" t="inlineStr">
        <is>
          <t>Currency</t>
        </is>
      </c>
      <c r="B4" s="3" t="inlineStr">
        <is>
          <t>USD</t>
        </is>
      </c>
      <c r="C4" s="3" t="inlineStr">
        <is>
          <t>All implementation and license figures are shown in USD.</t>
        </is>
      </c>
    </row>
    <row r="5">
      <c r="A5" s="3" t="inlineStr">
        <is>
          <t>Implementation hourly rate USD</t>
        </is>
      </c>
      <c r="B5" s="11" t="n">
        <v>28</v>
      </c>
      <c r="C5" s="3" t="inlineStr">
        <is>
          <t>Editable blended remote delivery planning rate.</t>
        </is>
      </c>
    </row>
    <row r="6">
      <c r="A6" s="3" t="inlineStr">
        <is>
          <t>Contingency buffer</t>
        </is>
      </c>
      <c r="B6" s="12" t="inlineStr">
        <is>
          <t>Removed</t>
        </is>
      </c>
      <c r="C6" s="3" t="inlineStr">
        <is>
          <t>No contingency buffer is applied per customer request.</t>
        </is>
      </c>
    </row>
    <row r="7">
      <c r="A7" s="3" t="inlineStr">
        <is>
          <t>Planning paid internal users</t>
        </is>
      </c>
      <c r="B7" s="11" t="n">
        <v>5</v>
      </c>
      <c r="C7" s="3" t="inlineStr">
        <is>
          <t>Editable. BRD lists roles but does not provide exact named users.</t>
        </is>
      </c>
    </row>
    <row r="8">
      <c r="A8" s="3" t="inlineStr">
        <is>
          <t>Recommended Odoo plan</t>
        </is>
      </c>
      <c r="B8" s="3" t="inlineStr">
        <is>
          <t>Custom - annual billing</t>
        </is>
      </c>
      <c r="C8" s="3" t="inlineStr">
        <is>
          <t>Recommended because the BRD includes custom court booking module usage and custom/advanced configuration.</t>
        </is>
      </c>
    </row>
    <row r="9">
      <c r="A9" s="3" t="inlineStr">
        <is>
          <t>License pricing basis</t>
        </is>
      </c>
      <c r="B9" s="3" t="inlineStr">
        <is>
          <t>Planning estimate</t>
        </is>
      </c>
      <c r="C9" s="3" t="inlineStr">
        <is>
          <t>Confirm final Odoo subscription quote with Odoo or selling partner before contract.</t>
        </is>
      </c>
    </row>
    <row r="10">
      <c r="A10" s="3" t="inlineStr">
        <is>
          <t>Scope source</t>
        </is>
      </c>
      <c r="B10" s="3" t="inlineStr">
        <is>
          <t>fcrc_brd_scope_of_work.pdf dated 2026-07-17</t>
        </is>
      </c>
      <c r="C10" s="3" t="inlineStr">
        <is>
          <t>Attached BRD/SOW is the scope baseline for this workbook.</t>
        </is>
      </c>
    </row>
    <row r="11">
      <c r="A11" s="3" t="inlineStr">
        <is>
          <t>Delivery model</t>
        </is>
      </c>
      <c r="B11" s="3" t="inlineStr">
        <is>
          <t>Remote implementation</t>
        </is>
      </c>
      <c r="C11" s="3" t="inlineStr">
        <is>
          <t>Onsite travel and expenses are excluded.</t>
        </is>
      </c>
    </row>
    <row r="12">
      <c r="A12" s="3" t="inlineStr">
        <is>
          <t>Data ownership</t>
        </is>
      </c>
      <c r="B12" s="3" t="inlineStr">
        <is>
          <t>Client-provided master data</t>
        </is>
      </c>
      <c r="C12" s="3" t="inlineStr">
        <is>
          <t>Court list, rates, memberships, products, vendors, taxes, accounts and opening quantities must be provided/approved by FCRC.</t>
        </is>
      </c>
    </row>
    <row r="13">
      <c r="A13" s="3" t="inlineStr">
        <is>
          <t>Third-party connectivity</t>
        </is>
      </c>
      <c r="B13" s="3" t="inlineStr">
        <is>
          <t>Excluded</t>
        </is>
      </c>
      <c r="C13" s="3" t="inlineStr">
        <is>
          <t>Any third-party integration/connectivity will be studied and quoted separately.</t>
        </is>
      </c>
    </row>
    <row r="14">
      <c r="A14" s="3" t="inlineStr">
        <is>
          <t>Hardware and IoT</t>
        </is>
      </c>
      <c r="B14" s="3" t="inlineStr">
        <is>
          <t>Excluded</t>
        </is>
      </c>
      <c r="C14" s="3" t="inlineStr">
        <is>
          <t>Barcode scanners, POS terminals, printers, payment terminals, court access/lighting IoT and networking hardware are not included.</t>
        </is>
      </c>
    </row>
    <row r="15">
      <c r="A15" s="3" t="inlineStr">
        <is>
          <t>Post-go-live support</t>
        </is>
      </c>
      <c r="B15" s="3" t="inlineStr">
        <is>
          <t>30-day stabilization included</t>
        </is>
      </c>
      <c r="C15" s="3" t="inlineStr">
        <is>
          <t>Managed support after stabilization is separate.</t>
        </is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78" customWidth="1" min="4" max="4"/>
  </cols>
  <sheetData>
    <row r="1">
      <c r="A1" s="1" t="inlineStr">
        <is>
          <t>BRD Traceability to Cost Lines</t>
        </is>
      </c>
    </row>
    <row r="3">
      <c r="A3" s="5" t="inlineStr">
        <is>
          <t>BRD Section</t>
        </is>
      </c>
      <c r="B3" s="5" t="inlineStr">
        <is>
          <t>Scope Area</t>
        </is>
      </c>
      <c r="C3" s="5" t="inlineStr">
        <is>
          <t>Cost WBS</t>
        </is>
      </c>
      <c r="D3" s="5" t="inlineStr">
        <is>
          <t>Workbook Treatment</t>
        </is>
      </c>
    </row>
    <row r="4">
      <c r="A4" s="3" t="inlineStr">
        <is>
          <t>1-2</t>
        </is>
      </c>
      <c r="B4" s="3" t="inlineStr">
        <is>
          <t>Executive summary and business objectives</t>
        </is>
      </c>
      <c r="C4" s="3" t="inlineStr">
        <is>
          <t>DISC, PM, BASE</t>
        </is>
      </c>
      <c r="D4" s="3" t="inlineStr">
        <is>
          <t>Included in discovery, base setup and governance.</t>
        </is>
      </c>
    </row>
    <row r="5">
      <c r="A5" s="3" t="inlineStr">
        <is>
          <t>3</t>
        </is>
      </c>
      <c r="B5" s="3" t="inlineStr">
        <is>
          <t>Current custom module overview</t>
        </is>
      </c>
      <c r="C5" s="3" t="inlineStr">
        <is>
          <t>COURT</t>
        </is>
      </c>
      <c r="D5" s="3" t="inlineStr">
        <is>
          <t>Configured and validated as implementation scope; not priced as hardware or third-party.</t>
        </is>
      </c>
    </row>
    <row r="6">
      <c r="A6" s="3" t="inlineStr">
        <is>
          <t>4</t>
        </is>
      </c>
      <c r="B6" s="3" t="inlineStr">
        <is>
          <t>Court booking requirements</t>
        </is>
      </c>
      <c r="C6" s="3" t="inlineStr">
        <is>
          <t>COURT, BILL, RPT, UAT</t>
        </is>
      </c>
      <c r="D6" s="3" t="inlineStr">
        <is>
          <t>Included for dashboard, lifecycle, validations, billing and reporting validation.</t>
        </is>
      </c>
    </row>
    <row r="7">
      <c r="A7" s="3" t="inlineStr">
        <is>
          <t>5</t>
        </is>
      </c>
      <c r="B7" s="3" t="inlineStr">
        <is>
          <t>Membership requirements</t>
        </is>
      </c>
      <c r="C7" s="3" t="inlineStr">
        <is>
          <t>MEM, BILL, UAT, TRN</t>
        </is>
      </c>
      <c r="D7" s="3" t="inlineStr">
        <is>
          <t>Included for membership plans, year, invoicing and statuses.</t>
        </is>
      </c>
    </row>
    <row r="8">
      <c r="A8" s="3" t="inlineStr">
        <is>
          <t>6</t>
        </is>
      </c>
      <c r="B8" s="3" t="inlineStr">
        <is>
          <t>Retail inventory requirements</t>
        </is>
      </c>
      <c r="C8" s="3" t="inlineStr">
        <is>
          <t>INV, BAR, POS</t>
        </is>
      </c>
      <c r="D8" s="3" t="inlineStr">
        <is>
          <t>Included for products, stock, reorder rules and barcode-ready product master.</t>
        </is>
      </c>
    </row>
    <row r="9">
      <c r="A9" s="3" t="inlineStr">
        <is>
          <t>7</t>
        </is>
      </c>
      <c r="B9" s="3" t="inlineStr">
        <is>
          <t>Sales module scope</t>
        </is>
      </c>
      <c r="C9" s="3" t="inlineStr">
        <is>
          <t>SALES</t>
        </is>
      </c>
      <c r="D9" s="3" t="inlineStr">
        <is>
          <t>Included for quotations, sales orders, invoices and order history.</t>
        </is>
      </c>
    </row>
    <row r="10">
      <c r="A10" s="3" t="inlineStr">
        <is>
          <t>8</t>
        </is>
      </c>
      <c r="B10" s="3" t="inlineStr">
        <is>
          <t>Point of Sale scope</t>
        </is>
      </c>
      <c r="C10" s="3" t="inlineStr">
        <is>
          <t>POS, BAR</t>
        </is>
      </c>
      <c r="D10" s="3" t="inlineStr">
        <is>
          <t>Included for POS setup and process validation; POS hardware/payment terminals excluded.</t>
        </is>
      </c>
    </row>
    <row r="11">
      <c r="A11" s="3" t="inlineStr">
        <is>
          <t>9</t>
        </is>
      </c>
      <c r="B11" s="3" t="inlineStr">
        <is>
          <t>Purchase module scope</t>
        </is>
      </c>
      <c r="C11" s="3" t="inlineStr">
        <is>
          <t>PUR</t>
        </is>
      </c>
      <c r="D11" s="3" t="inlineStr">
        <is>
          <t>Included for vendor/RFQ/PO/receipt/vendor bill flow.</t>
        </is>
      </c>
    </row>
    <row r="12">
      <c r="A12" s="3" t="inlineStr">
        <is>
          <t>10</t>
        </is>
      </c>
      <c r="B12" s="3" t="inlineStr">
        <is>
          <t>Accounting module scope</t>
        </is>
      </c>
      <c r="C12" s="3" t="inlineStr">
        <is>
          <t>BILL, BASE, UAT</t>
        </is>
      </c>
      <c r="D12" s="3" t="inlineStr">
        <is>
          <t>Included for invoices, payments, AR/AP, account mapping and standard reporting readiness.</t>
        </is>
      </c>
    </row>
    <row r="13">
      <c r="A13" s="3" t="inlineStr">
        <is>
          <t>11</t>
        </is>
      </c>
      <c r="B13" s="3" t="inlineStr">
        <is>
          <t>Barcode scope</t>
        </is>
      </c>
      <c r="C13" s="3" t="inlineStr">
        <is>
          <t>BAR</t>
        </is>
      </c>
      <c r="D13" s="3" t="inlineStr">
        <is>
          <t>Included for barcode data and scan validation; scanners and complex label templates excluded.</t>
        </is>
      </c>
    </row>
    <row r="14">
      <c r="A14" s="3" t="inlineStr">
        <is>
          <t>12</t>
        </is>
      </c>
      <c r="B14" s="3" t="inlineStr">
        <is>
          <t>CRM scope</t>
        </is>
      </c>
      <c r="C14" s="3" t="inlineStr">
        <is>
          <t>CRM</t>
        </is>
      </c>
      <c r="D14" s="3" t="inlineStr">
        <is>
          <t>Included for stages, sources, sample opportunities and conversion flow.</t>
        </is>
      </c>
    </row>
    <row r="15">
      <c r="A15" s="3" t="inlineStr">
        <is>
          <t>13</t>
        </is>
      </c>
      <c r="B15" s="3" t="inlineStr">
        <is>
          <t>Reporting requirements</t>
        </is>
      </c>
      <c r="C15" s="3" t="inlineStr">
        <is>
          <t>RPT</t>
        </is>
      </c>
      <c r="D15" s="3" t="inlineStr">
        <is>
          <t>Included for booking analysis, operational dashboard and standard reports.</t>
        </is>
      </c>
    </row>
    <row r="16">
      <c r="A16" s="3" t="inlineStr">
        <is>
          <t>14</t>
        </is>
      </c>
      <c r="B16" s="3" t="inlineStr">
        <is>
          <t>User roles</t>
        </is>
      </c>
      <c r="C16" s="3" t="inlineStr">
        <is>
          <t>BASE, TRN</t>
        </is>
      </c>
      <c r="D16" s="3" t="inlineStr">
        <is>
          <t>Included in access baseline and handover.</t>
        </is>
      </c>
    </row>
    <row r="17">
      <c r="A17" s="3" t="inlineStr">
        <is>
          <t>15</t>
        </is>
      </c>
      <c r="B17" s="3" t="inlineStr">
        <is>
          <t>Detailed scope of work</t>
        </is>
      </c>
      <c r="C17" s="3" t="inlineStr">
        <is>
          <t>All WBS</t>
        </is>
      </c>
      <c r="D17" s="3" t="inlineStr">
        <is>
          <t>Cost sheet follows BRD phases 1-13.</t>
        </is>
      </c>
    </row>
    <row r="18">
      <c r="A18" s="3" t="inlineStr">
        <is>
          <t>16</t>
        </is>
      </c>
      <c r="B18" s="3" t="inlineStr">
        <is>
          <t>Out of scope for current demo</t>
        </is>
      </c>
      <c r="C18" s="3" t="inlineStr">
        <is>
          <t>Exclusions</t>
        </is>
      </c>
      <c r="D18" s="3" t="inlineStr">
        <is>
          <t>Excluded unless separately approved.</t>
        </is>
      </c>
    </row>
    <row r="19">
      <c r="A19" s="3" t="inlineStr">
        <is>
          <t>17-20</t>
        </is>
      </c>
      <c r="B19" s="3" t="inlineStr">
        <is>
          <t>Assumptions, acceptance, risks, next steps</t>
        </is>
      </c>
      <c r="C19" s="3" t="inlineStr">
        <is>
          <t>DISC, UAT, PM</t>
        </is>
      </c>
      <c r="D19" s="3" t="inlineStr">
        <is>
          <t>Reflected in assumptions, UAT and risk notes.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8" customWidth="1" min="3" max="3"/>
    <col width="90" customWidth="1" min="4" max="4"/>
  </cols>
  <sheetData>
    <row r="1">
      <c r="A1" s="1" t="inlineStr">
        <is>
          <t>Exclusions and Commercial Notes</t>
        </is>
      </c>
    </row>
    <row r="3">
      <c r="A3" s="5" t="inlineStr">
        <is>
          <t>Category</t>
        </is>
      </c>
      <c r="B3" s="5" t="inlineStr">
        <is>
          <t>Included in Cost?</t>
        </is>
      </c>
      <c r="C3" s="5" t="inlineStr">
        <is>
          <t>Treatment</t>
        </is>
      </c>
      <c r="D3" s="5" t="inlineStr">
        <is>
          <t>Notes</t>
        </is>
      </c>
    </row>
    <row r="4">
      <c r="A4" s="3" t="inlineStr">
        <is>
          <t>Hardware and IoT devices</t>
        </is>
      </c>
      <c r="B4" s="13" t="inlineStr">
        <is>
          <t>No</t>
        </is>
      </c>
      <c r="C4" s="3" t="inlineStr">
        <is>
          <t>Excluded</t>
        </is>
      </c>
      <c r="D4" s="3" t="inlineStr">
        <is>
          <t>Barcode scanners, receipt printers, cash drawers, POS terminals/tablets, label printers, payment terminals, court lighting/access control, networking and other IoT devices are not included.</t>
        </is>
      </c>
    </row>
    <row r="5">
      <c r="A5" s="3" t="inlineStr">
        <is>
          <t>Third-party connectivity</t>
        </is>
      </c>
      <c r="B5" s="13" t="inlineStr">
        <is>
          <t>No</t>
        </is>
      </c>
      <c r="C5" s="3" t="inlineStr">
        <is>
          <t>Separate study and quote</t>
        </is>
      </c>
      <c r="D5" s="3" t="inlineStr">
        <is>
          <t>Any payment gateway, bank feed, vendor catalog, SMS/email service, external website, access control, Sage/legacy connectivity or API integration will be studied and quoted separately.</t>
        </is>
      </c>
    </row>
    <row r="6">
      <c r="A6" s="3" t="inlineStr">
        <is>
          <t>Odoo license</t>
        </is>
      </c>
      <c r="B6" s="3" t="inlineStr">
        <is>
          <t>Separate sheet</t>
        </is>
      </c>
      <c r="C6" s="3" t="inlineStr">
        <is>
          <t>Estimated separately</t>
        </is>
      </c>
      <c r="D6" s="3" t="inlineStr">
        <is>
          <t>See Odoo License Cost sheet. License is not part of the implementation service total.</t>
        </is>
      </c>
    </row>
    <row r="7">
      <c r="A7" s="3" t="inlineStr">
        <is>
          <t>Odoo.sh / hosting</t>
        </is>
      </c>
      <c r="B7" s="13" t="inlineStr">
        <is>
          <t>No</t>
        </is>
      </c>
      <c r="C7" s="3" t="inlineStr">
        <is>
          <t>Quote separately if required</t>
        </is>
      </c>
      <c r="D7" s="3" t="inlineStr">
        <is>
          <t>Hosting is not included in the implementation total or license sheet unless separately quoted.</t>
        </is>
      </c>
    </row>
    <row r="8">
      <c r="A8" s="3" t="inlineStr">
        <is>
          <t>Online portal booking / website checkout</t>
        </is>
      </c>
      <c r="B8" s="13" t="inlineStr">
        <is>
          <t>No</t>
        </is>
      </c>
      <c r="C8" s="3" t="inlineStr">
        <is>
          <t>Out of scope</t>
        </is>
      </c>
      <c r="D8" s="3" t="inlineStr">
        <is>
          <t>Excluded by BRD section 16 unless separately approved.</t>
        </is>
      </c>
    </row>
    <row r="9">
      <c r="A9" s="3" t="inlineStr">
        <is>
          <t>Payment gateway integration</t>
        </is>
      </c>
      <c r="B9" s="13" t="inlineStr">
        <is>
          <t>No</t>
        </is>
      </c>
      <c r="C9" s="3" t="inlineStr">
        <is>
          <t>Out of scope / separate quote</t>
        </is>
      </c>
      <c r="D9" s="3" t="inlineStr">
        <is>
          <t>Processor setup, payment terminals and transaction fees are excluded.</t>
        </is>
      </c>
    </row>
    <row r="10">
      <c r="A10" s="3" t="inlineStr">
        <is>
          <t>Automated recurring membership billing</t>
        </is>
      </c>
      <c r="B10" s="13" t="inlineStr">
        <is>
          <t>No</t>
        </is>
      </c>
      <c r="C10" s="3" t="inlineStr">
        <is>
          <t>Out of scope</t>
        </is>
      </c>
      <c r="D10" s="3" t="inlineStr">
        <is>
          <t>Excluded by BRD section 16.</t>
        </is>
      </c>
    </row>
    <row r="11">
      <c r="A11" s="3" t="inlineStr">
        <is>
          <t>Family member eligibility automation</t>
        </is>
      </c>
      <c r="B11" s="13" t="inlineStr">
        <is>
          <t>No</t>
        </is>
      </c>
      <c r="C11" s="3" t="inlineStr">
        <is>
          <t>Out of scope</t>
        </is>
      </c>
      <c r="D11" s="3" t="inlineStr">
        <is>
          <t>Family handling remains operational outside ERP for the demo per BRD.</t>
        </is>
      </c>
    </row>
    <row r="12">
      <c r="A12" s="3" t="inlineStr">
        <is>
          <t>Advanced lessons, leagues and tournaments</t>
        </is>
      </c>
      <c r="B12" s="13" t="inlineStr">
        <is>
          <t>No</t>
        </is>
      </c>
      <c r="C12" s="3" t="inlineStr">
        <is>
          <t>Out of scope</t>
        </is>
      </c>
      <c r="D12" s="3" t="inlineStr">
        <is>
          <t>Advanced coaching/lesson scheduling and league/tournament management are excluded by BRD section 16.</t>
        </is>
      </c>
    </row>
    <row r="13">
      <c r="A13" s="3" t="inlineStr">
        <is>
          <t>Payroll</t>
        </is>
      </c>
      <c r="B13" s="13" t="inlineStr">
        <is>
          <t>No</t>
        </is>
      </c>
      <c r="C13" s="3" t="inlineStr">
        <is>
          <t>Out of scope</t>
        </is>
      </c>
      <c r="D13" s="3" t="inlineStr">
        <is>
          <t>Not listed in current implementation scope and excluded from this cost sheet.</t>
        </is>
      </c>
    </row>
    <row r="14">
      <c r="A14" s="3" t="inlineStr">
        <is>
          <t>Complex barcode label printing templates</t>
        </is>
      </c>
      <c r="B14" s="13" t="inlineStr">
        <is>
          <t>No</t>
        </is>
      </c>
      <c r="C14" s="3" t="inlineStr">
        <is>
          <t>Out of scope</t>
        </is>
      </c>
      <c r="D14" s="3" t="inlineStr">
        <is>
          <t>Basic barcode fields and scan validation are included; complex template design is excluded.</t>
        </is>
      </c>
    </row>
    <row r="15">
      <c r="A15" s="3" t="inlineStr">
        <is>
          <t>Data migration beyond setup/demo data</t>
        </is>
      </c>
      <c r="B15" s="13" t="inlineStr">
        <is>
          <t>No</t>
        </is>
      </c>
      <c r="C15" s="3" t="inlineStr">
        <is>
          <t>Separate quote if needed</t>
        </is>
      </c>
      <c r="D15" s="3" t="inlineStr">
        <is>
          <t>The BRD focuses configuration/demo readiness. Historical transaction migration is not included unless separately scoped.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2026-07-17T06:47:57Z</dcterms:created>
  <dcterms:modified xmlns:dcterms="http://purl.org/dc/terms/" xmlns:xsi="http://www.w3.org/2001/XMLSchema-instance" xsi:type="dcterms:W3CDTF">2026-07-17T07:02:02Z</dcterms:modified>
</cp:coreProperties>
</file>