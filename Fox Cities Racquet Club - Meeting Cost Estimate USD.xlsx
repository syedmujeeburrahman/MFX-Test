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mplementation Cost" sheetId="2" state="visible" r:id="rId2"/>
    <sheet xmlns:r="http://schemas.openxmlformats.org/officeDocument/2006/relationships" name="Odoo License &amp; Hosting" sheetId="3" state="visible" r:id="rId3"/>
    <sheet xmlns:r="http://schemas.openxmlformats.org/officeDocument/2006/relationships" name="Full BRD Expansion" sheetId="4" state="visible" r:id="rId4"/>
    <sheet xmlns:r="http://schemas.openxmlformats.org/officeDocument/2006/relationships" name="Meeting Scope" sheetId="5" state="visible" r:id="rId5"/>
    <sheet xmlns:r="http://schemas.openxmlformats.org/officeDocument/2006/relationships" name="Assumptions" sheetId="6" state="visible" r:id="rId6"/>
    <sheet xmlns:r="http://schemas.openxmlformats.org/officeDocument/2006/relationships" name="Sources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8"/>
      <sz val="16"/>
    </font>
    <font>
      <color rgb="00666666"/>
      <sz val="9"/>
    </font>
    <font>
      <b val="1"/>
    </font>
    <font>
      <b val="1"/>
      <color rgb="00FFFFFF"/>
    </font>
    <font/>
  </fonts>
  <fills count="7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3F6FA"/>
      </patternFill>
    </fill>
  </fills>
  <borders count="6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164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164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164" fontId="3" fillId="6" borderId="1" applyAlignment="1" pivotButton="0" quotePrefix="0" xfId="0">
      <alignment vertical="top" wrapText="1"/>
    </xf>
    <xf numFmtId="3" fontId="3" fillId="4" borderId="1" applyAlignment="1" pivotButton="0" quotePrefix="0" xfId="0">
      <alignment vertical="top" wrapText="1"/>
    </xf>
    <xf numFmtId="3" fontId="3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9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DearERP</author>
  </authors>
  <commentList>
    <comment ref="B8" authorId="0" shapeId="0">
      <text>
        <t>Current first-year promotional annual-billing monthly equivalent used for planning. Validate final rate with Odoo before contracting.</t>
      </text>
    </comment>
    <comment ref="B9" authorId="0" shapeId="0">
      <text>
        <t>Conservative list/renewal annual-billing monthly equivalent for Odoo Custom.</t>
      </text>
    </comment>
    <comment ref="C21" authorId="0" shapeId="0">
      <text>
        <t>Annual-billing monthly equivalent from Odoo.sh pricing.</t>
      </text>
    </comment>
    <comment ref="C22" authorId="0" shapeId="0">
      <text>
        <t>Annual-billing monthly equivalent from Odoo.sh pricing.</t>
      </text>
    </comment>
    <comment ref="C23" authorId="0" shapeId="0">
      <text>
        <t>Annual-billing monthly equivalent from Odoo.sh pricing.</t>
      </text>
    </comment>
  </commentList>
</comments>
</file>

<file path=xl/tables/table1.xml><?xml version="1.0" encoding="utf-8"?>
<table xmlns="http://schemas.openxmlformats.org/spreadsheetml/2006/main" id="1" name="ImplementationTable" displayName="ImplementationTable" ref="A4:L18" headerRowCount="1">
  <autoFilter ref="A4:L18"/>
  <tableColumns count="12">
    <tableColumn id="1" name="WBS"/>
    <tableColumn id="2" name="Workstream"/>
    <tableColumn id="3" name="Meeting Requirement"/>
    <tableColumn id="4" name="Scope Included"/>
    <tableColumn id="5" name="Odoo Apps / Components"/>
    <tableColumn id="6" name="Low Hours"/>
    <tableColumn id="7" name="Base Hours"/>
    <tableColumn id="8" name="High Hours"/>
    <tableColumn id="9" name="Rate"/>
    <tableColumn id="10" name="Base Cost"/>
    <tableColumn id="11" name="Risk"/>
    <tableColumn id="12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LicenseScenarioTable" displayName="LicenseScenarioTable" ref="A12:F17" headerRowCount="1">
  <autoFilter ref="A12:F17"/>
  <tableColumns count="6">
    <tableColumn id="1" name="Plan Scenario"/>
    <tableColumn id="2" name="Included"/>
    <tableColumn id="3" name="Billing"/>
    <tableColumn id="4" name="Monthly Equivalent"/>
    <tableColumn id="5" name="Annual Cost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HostingTable" displayName="HostingTable" ref="A20:F25" headerRowCount="1">
  <autoFilter ref="A20:F25"/>
  <tableColumns count="6">
    <tableColumn id="1" name="Odoo.sh Component"/>
    <tableColumn id="2" name="Qty"/>
    <tableColumn id="3" name="Unit Price / Month"/>
    <tableColumn id="4" name="Monthly Equivalent"/>
    <tableColumn id="5" name="Annual Cost"/>
    <tableColumn id="6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copeTable" displayName="ScopeTable" ref="A4:D13" headerRowCount="1">
  <autoFilter ref="A4:D13"/>
  <tableColumns count="4">
    <tableColumn id="1" name="Area"/>
    <tableColumn id="2" name="Meeting Requirement"/>
    <tableColumn id="3" name="Costing Interpretation"/>
    <tableColumn id="4" name="Priorit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ssumptionTable" displayName="AssumptionTable" ref="A4:C18" headerRowCount="1">
  <autoFilter ref="A4:C18"/>
  <tableColumns count="3">
    <tableColumn id="1" name="Assumption"/>
    <tableColumn id="2" name="Value"/>
    <tableColumn id="3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ourceTable" displayName="SourceTable" ref="A4:C10" headerRowCount="1">
  <autoFilter ref="A4:C10"/>
  <tableColumns count="3">
    <tableColumn id="1" name="Source"/>
    <tableColumn id="2" name="Reference"/>
    <tableColumn id="3" name="Use in Estim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4" customWidth="1" min="3" max="3"/>
    <col width="34" customWidth="1" min="4" max="4"/>
    <col width="18" customWidth="1" min="5" max="5"/>
    <col width="18" customWidth="1" min="6" max="6"/>
    <col width="18" customWidth="1" min="7" max="7"/>
  </cols>
  <sheetData>
    <row r="1" ht="24" customHeight="1">
      <c r="A1" s="1" t="inlineStr">
        <is>
          <t>Fox Cities Racquet Club - Odoo Meeting Cost Estimate</t>
        </is>
      </c>
    </row>
    <row r="2">
      <c r="A2" s="2" t="inlineStr">
        <is>
          <t>Prepared from July 15, 2026 meeting notes and available BRD scope. Currency: USD.</t>
        </is>
      </c>
    </row>
    <row r="4">
      <c r="A4" s="3" t="inlineStr">
        <is>
          <t>Prepared for</t>
        </is>
      </c>
      <c r="B4" s="4" t="inlineStr">
        <is>
          <t>Fox Cities Racquet Club</t>
        </is>
      </c>
      <c r="C4" s="4" t="n"/>
      <c r="D4" s="3" t="inlineStr">
        <is>
          <t>Recommended Direction</t>
        </is>
      </c>
      <c r="E4" s="4" t="n"/>
      <c r="F4" s="4" t="n"/>
      <c r="G4" s="4" t="n"/>
    </row>
    <row r="5">
      <c r="A5" s="3" t="inlineStr">
        <is>
          <t>Prospect contact</t>
        </is>
      </c>
      <c r="B5" s="4" t="inlineStr">
        <is>
          <t>Dean Verstegen</t>
        </is>
      </c>
      <c r="C5" s="4" t="n"/>
      <c r="D5" s="3" t="inlineStr">
        <is>
          <t>Use Odoo Custom with Odoo.sh because the meeting includes custom court dashboard work and custom modules. Odoo.sh hosting is separate from the license.</t>
        </is>
      </c>
      <c r="E5" s="4" t="n"/>
      <c r="F5" s="4" t="n"/>
      <c r="G5" s="4" t="n"/>
    </row>
    <row r="6">
      <c r="A6" s="3" t="inlineStr">
        <is>
          <t>Prepared date</t>
        </is>
      </c>
      <c r="B6" s="4" t="inlineStr">
        <is>
          <t>2026-07-17</t>
        </is>
      </c>
      <c r="C6" s="4" t="n"/>
      <c r="D6" s="3" t="inlineStr">
        <is>
          <t>Current paid users</t>
        </is>
      </c>
      <c r="E6" s="5" t="n">
        <v>5</v>
      </c>
      <c r="F6" s="4" t="n"/>
      <c r="G6" s="4" t="n"/>
    </row>
    <row r="7">
      <c r="A7" s="3" t="inlineStr">
        <is>
          <t>Currency</t>
        </is>
      </c>
      <c r="B7" s="4" t="inlineStr">
        <is>
          <t>USD</t>
        </is>
      </c>
      <c r="C7" s="4" t="n"/>
      <c r="D7" s="3" t="inlineStr">
        <is>
          <t>Implementation model</t>
        </is>
      </c>
      <c r="E7" s="4" t="inlineStr">
        <is>
          <t>Remote hourly estimate</t>
        </is>
      </c>
      <c r="F7" s="4" t="n"/>
      <c r="G7" s="4" t="n"/>
    </row>
    <row r="8">
      <c r="A8" s="3" t="inlineStr">
        <is>
          <t>Planning hourly rate</t>
        </is>
      </c>
      <c r="B8" s="6">
        <f>'Assumptions'!B3</f>
        <v/>
      </c>
      <c r="C8" s="4" t="n"/>
      <c r="D8" s="3" t="inlineStr">
        <is>
          <t>Odoo.sh baseline</t>
        </is>
      </c>
      <c r="E8" s="4" t="inlineStr">
        <is>
          <t>1 worker, 50 GB storage, 1 staging env</t>
        </is>
      </c>
      <c r="F8" s="4" t="n"/>
      <c r="G8" s="4" t="n"/>
    </row>
    <row r="10">
      <c r="A10" s="7" t="inlineStr">
        <is>
          <t>Cost Summary - Meeting MVP</t>
        </is>
      </c>
    </row>
    <row r="11" ht="26" customHeight="1">
      <c r="A11" s="8" t="inlineStr">
        <is>
          <t>Line Item</t>
        </is>
      </c>
      <c r="B11" s="8" t="inlineStr">
        <is>
          <t>Monthly Equivalent</t>
        </is>
      </c>
      <c r="C11" s="8" t="inlineStr">
        <is>
          <t>Annual / One-Time</t>
        </is>
      </c>
      <c r="D11" s="8" t="inlineStr">
        <is>
          <t>Notes</t>
        </is>
      </c>
      <c r="E11" s="9" t="inlineStr"/>
      <c r="F11" s="9" t="inlineStr"/>
      <c r="G11" s="9" t="inlineStr"/>
    </row>
    <row r="12">
      <c r="A12" s="10" t="inlineStr">
        <is>
          <t>Implementation subtotal</t>
        </is>
      </c>
      <c r="B12" s="6" t="n"/>
      <c r="C12" s="6">
        <f>'Implementation Cost'!J20</f>
        <v/>
      </c>
      <c r="D12" s="4" t="inlineStr">
        <is>
          <t>Base-hour estimate before contingency.</t>
        </is>
      </c>
    </row>
    <row r="13">
      <c r="A13" s="10" t="inlineStr">
        <is>
          <t>Implementation contingency</t>
        </is>
      </c>
      <c r="B13" s="6" t="n"/>
      <c r="C13" s="6">
        <f>'Implementation Cost'!J21</f>
        <v/>
      </c>
      <c r="D13" s="4" t="inlineStr">
        <is>
          <t>15% planning contingency.</t>
        </is>
      </c>
    </row>
    <row r="14">
      <c r="A14" s="11" t="inlineStr">
        <is>
          <t>Implementation total</t>
        </is>
      </c>
      <c r="B14" s="12" t="n"/>
      <c r="C14" s="12">
        <f>'Implementation Cost'!J22</f>
        <v/>
      </c>
      <c r="D14" s="4" t="inlineStr">
        <is>
          <t>One-time implementation budget for meeting MVP.</t>
        </is>
      </c>
    </row>
    <row r="15">
      <c r="A15" s="10" t="inlineStr">
        <is>
          <t>Odoo Custom license - first-year promo</t>
        </is>
      </c>
      <c r="B15" s="6">
        <f>'Odoo License &amp; Hosting'!D15</f>
        <v/>
      </c>
      <c r="C15" s="6">
        <f>'Odoo License &amp; Hosting'!E15</f>
        <v/>
      </c>
      <c r="D15" s="4" t="inlineStr">
        <is>
          <t>5 paid users, annual billing monthly equivalent.</t>
        </is>
      </c>
    </row>
    <row r="16">
      <c r="A16" s="10" t="inlineStr">
        <is>
          <t>Odoo Custom license - renewal/list</t>
        </is>
      </c>
      <c r="B16" s="6">
        <f>'Odoo License &amp; Hosting'!D16</f>
        <v/>
      </c>
      <c r="C16" s="6">
        <f>'Odoo License &amp; Hosting'!E16</f>
        <v/>
      </c>
      <c r="D16" s="4" t="inlineStr">
        <is>
          <t>Conservative recurring budget after first-year discount period.</t>
        </is>
      </c>
    </row>
    <row r="17">
      <c r="A17" s="10" t="inlineStr">
        <is>
          <t>Odoo.sh hosting - with staging</t>
        </is>
      </c>
      <c r="B17" s="6">
        <f>'Odoo License &amp; Hosting'!D24</f>
        <v/>
      </c>
      <c r="C17" s="6">
        <f>'Odoo License &amp; Hosting'!E24</f>
        <v/>
      </c>
      <c r="D17" s="4" t="inlineStr">
        <is>
          <t>1 worker + 50 GB + 1 staging environment.</t>
        </is>
      </c>
    </row>
    <row r="18">
      <c r="A18" s="10" t="inlineStr">
        <is>
          <t>Estimated first-year total - promo license</t>
        </is>
      </c>
      <c r="B18" s="6">
        <f>'Odoo License &amp; Hosting'!D15+'Odoo License &amp; Hosting'!D24</f>
        <v/>
      </c>
      <c r="C18" s="6">
        <f>C14+C15+C17</f>
        <v/>
      </c>
      <c r="D18" s="4" t="inlineStr">
        <is>
          <t>Implementation + first-year discounted license + Odoo.sh hosting.</t>
        </is>
      </c>
    </row>
    <row r="19">
      <c r="A19" s="13" t="inlineStr">
        <is>
          <t>Estimated first-year total - list license</t>
        </is>
      </c>
      <c r="B19" s="14">
        <f>'Odoo License &amp; Hosting'!D16+'Odoo License &amp; Hosting'!D24</f>
        <v/>
      </c>
      <c r="C19" s="14">
        <f>C14+C16+C17</f>
        <v/>
      </c>
      <c r="D19" s="4" t="inlineStr">
        <is>
          <t>Same implementation scope using list/renewal license price.</t>
        </is>
      </c>
    </row>
    <row r="20">
      <c r="A20" s="13" t="inlineStr">
        <is>
          <t>Recurring annual license + hosting after year 1</t>
        </is>
      </c>
      <c r="B20" s="14">
        <f>'Odoo License &amp; Hosting'!D16+'Odoo License &amp; Hosting'!D24</f>
        <v/>
      </c>
      <c r="C20" s="14">
        <f>C16+C17</f>
        <v/>
      </c>
      <c r="D20" s="4" t="inlineStr">
        <is>
          <t>Odoo Custom renewal/list license + Odoo.sh hosting only; excludes implementation and optional support.</t>
        </is>
      </c>
    </row>
    <row r="23">
      <c r="A23" s="7" t="inlineStr">
        <is>
          <t>Meeting Scope Highlights</t>
        </is>
      </c>
    </row>
    <row r="24">
      <c r="A24" s="4" t="inlineStr">
        <is>
          <t>Court booking with hourly rates, ball machine, start/end controls, 15-minute validation buffer, seasonal rates, and non-member booking limits.</t>
        </is>
      </c>
      <c r="B24" s="22" t="n"/>
      <c r="C24" s="22" t="n"/>
      <c r="D24" s="22" t="n"/>
      <c r="E24" s="22" t="n"/>
      <c r="F24" s="22" t="n"/>
      <c r="G24" s="23" t="n"/>
    </row>
    <row r="25">
      <c r="A25" s="4" t="inlineStr">
        <is>
          <t>Custom court dashboard modeled after current court sheets/Excel workflow, pending high-resolution court-sheet images from Dean.</t>
        </is>
      </c>
      <c r="B25" s="22" t="n"/>
      <c r="C25" s="22" t="n"/>
      <c r="D25" s="22" t="n"/>
      <c r="E25" s="22" t="n"/>
      <c r="F25" s="22" t="n"/>
      <c r="G25" s="23" t="n"/>
    </row>
    <row r="26">
      <c r="A26" s="4" t="inlineStr">
        <is>
          <t>Membership plans with prorated billing, member vs non-member logic, invoices, payments, and account balances.</t>
        </is>
      </c>
      <c r="B26" s="22" t="n"/>
      <c r="C26" s="22" t="n"/>
      <c r="D26" s="22" t="n"/>
      <c r="E26" s="22" t="n"/>
      <c r="F26" s="22" t="n"/>
      <c r="G26" s="23" t="n"/>
    </row>
    <row r="27">
      <c r="A27" s="4" t="inlineStr">
        <is>
          <t>POS retail setup with products enabled for POS by default, barcode flow, cash closing, gift cards, coupons, and member pricing readiness.</t>
        </is>
      </c>
      <c r="B27" s="22" t="n"/>
      <c r="C27" s="22" t="n"/>
      <c r="D27" s="22" t="n"/>
      <c r="E27" s="22" t="n"/>
      <c r="F27" s="22" t="n"/>
      <c r="G27" s="23" t="n"/>
    </row>
    <row r="28">
      <c r="A28" s="4" t="inlineStr">
        <is>
          <t>Accounting, bank/payment provider integration, purchase orders, inventory reporting, and optional Odoo website replacement.</t>
        </is>
      </c>
      <c r="B28" s="22" t="n"/>
      <c r="C28" s="22" t="n"/>
      <c r="D28" s="22" t="n"/>
      <c r="E28" s="22" t="n"/>
      <c r="F28" s="22" t="n"/>
      <c r="G28" s="23" t="n"/>
    </row>
  </sheetData>
  <mergeCells count="7">
    <mergeCell ref="A27:G27"/>
    <mergeCell ref="A26:G26"/>
    <mergeCell ref="A24:G24"/>
    <mergeCell ref="A25:G25"/>
    <mergeCell ref="A10:G10"/>
    <mergeCell ref="A28:G28"/>
    <mergeCell ref="A23:G23"/>
  </mergeCells>
  <pageMargins left="0.25" right="0.2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4" customWidth="1" min="3" max="3"/>
    <col width="46" customWidth="1" min="4" max="4"/>
    <col width="30" customWidth="1" min="5" max="5"/>
    <col width="12" customWidth="1" min="6" max="6"/>
    <col width="12" customWidth="1" min="7" max="7"/>
    <col width="12" customWidth="1" min="8" max="8"/>
    <col width="13" customWidth="1" min="9" max="9"/>
    <col width="14" customWidth="1" min="10" max="10"/>
    <col width="12" customWidth="1" min="11" max="11"/>
    <col width="42" customWidth="1" min="12" max="12"/>
  </cols>
  <sheetData>
    <row r="1" ht="24" customHeight="1">
      <c r="A1" s="1" t="inlineStr">
        <is>
          <t>Meeting-Based Implementation Estimate</t>
        </is>
      </c>
    </row>
    <row r="2">
      <c r="A2" s="2" t="inlineStr">
        <is>
          <t>Editable hourly rate and contingency are on the Assumptions sheet. This is a planning estimate, not a fixed quote.</t>
        </is>
      </c>
    </row>
    <row r="4" ht="26" customHeight="1">
      <c r="A4" s="8" t="inlineStr">
        <is>
          <t>WBS</t>
        </is>
      </c>
      <c r="B4" s="8" t="inlineStr">
        <is>
          <t>Workstream</t>
        </is>
      </c>
      <c r="C4" s="8" t="inlineStr">
        <is>
          <t>Meeting Requirement</t>
        </is>
      </c>
      <c r="D4" s="8" t="inlineStr">
        <is>
          <t>Scope Included</t>
        </is>
      </c>
      <c r="E4" s="8" t="inlineStr">
        <is>
          <t>Odoo Apps / Components</t>
        </is>
      </c>
      <c r="F4" s="8" t="inlineStr">
        <is>
          <t>Low Hours</t>
        </is>
      </c>
      <c r="G4" s="8" t="inlineStr">
        <is>
          <t>Base Hours</t>
        </is>
      </c>
      <c r="H4" s="8" t="inlineStr">
        <is>
          <t>High Hours</t>
        </is>
      </c>
      <c r="I4" s="8" t="inlineStr">
        <is>
          <t>Rate</t>
        </is>
      </c>
      <c r="J4" s="8" t="inlineStr">
        <is>
          <t>Base Cost</t>
        </is>
      </c>
      <c r="K4" s="8" t="inlineStr">
        <is>
          <t>Risk</t>
        </is>
      </c>
      <c r="L4" s="8" t="inlineStr">
        <is>
          <t>Notes</t>
        </is>
      </c>
    </row>
    <row r="5">
      <c r="A5" s="4" t="inlineStr">
        <is>
          <t>DISC</t>
        </is>
      </c>
      <c r="B5" s="4" t="inlineStr">
        <is>
          <t>Discovery, BRD validation &amp; solution blueprint</t>
        </is>
      </c>
      <c r="C5" s="4" t="inlineStr">
        <is>
          <t>Review 72-page BRD; confirm board-priority scope</t>
        </is>
      </c>
      <c r="D5" s="4" t="inlineStr">
        <is>
          <t>Fit-gap workshops, current workflow review, implementation backlog, phase plan</t>
        </is>
      </c>
      <c r="E5" s="4" t="inlineStr">
        <is>
          <t>Project, Knowledge</t>
        </is>
      </c>
      <c r="F5" s="5" t="n">
        <v>30</v>
      </c>
      <c r="G5" s="5" t="n">
        <v>45</v>
      </c>
      <c r="H5" s="5" t="n">
        <v>65</v>
      </c>
      <c r="I5" s="6">
        <f>'Assumptions'!$B$3</f>
        <v/>
      </c>
      <c r="J5" s="6">
        <f>G5*I5</f>
        <v/>
      </c>
      <c r="K5" s="4" t="inlineStr">
        <is>
          <t>Medium</t>
        </is>
      </c>
      <c r="L5" s="4" t="inlineStr">
        <is>
          <t>Required before final fixed-price commitment.</t>
        </is>
      </c>
    </row>
    <row r="6">
      <c r="A6" s="4" t="inlineStr">
        <is>
          <t>PM</t>
        </is>
      </c>
      <c r="B6" s="4" t="inlineStr">
        <is>
          <t>Project management &amp; governance</t>
        </is>
      </c>
      <c r="C6" s="4" t="inlineStr">
        <is>
          <t>Board proposal and contract initiation</t>
        </is>
      </c>
      <c r="D6" s="4" t="inlineStr">
        <is>
          <t>Status meetings, RAID log, change control, budget and schedule tracking</t>
        </is>
      </c>
      <c r="E6" s="4" t="inlineStr">
        <is>
          <t>Project</t>
        </is>
      </c>
      <c r="F6" s="5" t="n">
        <v>25</v>
      </c>
      <c r="G6" s="5" t="n">
        <v>40</v>
      </c>
      <c r="H6" s="5" t="n">
        <v>60</v>
      </c>
      <c r="I6" s="6">
        <f>'Assumptions'!$B$3</f>
        <v/>
      </c>
      <c r="J6" s="6">
        <f>G6*I6</f>
        <v/>
      </c>
      <c r="K6" s="4" t="inlineStr">
        <is>
          <t>Medium</t>
        </is>
      </c>
      <c r="L6" s="4" t="inlineStr">
        <is>
          <t>Remote governance assumed.</t>
        </is>
      </c>
    </row>
    <row r="7">
      <c r="A7" s="4" t="inlineStr">
        <is>
          <t>BASE</t>
        </is>
      </c>
      <c r="B7" s="4" t="inlineStr">
        <is>
          <t>Odoo.sh/base environment setup</t>
        </is>
      </c>
      <c r="C7" s="4" t="inlineStr">
        <is>
          <t>US localization, users, settings, email</t>
        </is>
      </c>
      <c r="D7" s="4" t="inlineStr">
        <is>
          <t>Company setup, users/security baseline, mail, technical settings, Odoo.sh repo/deployment readiness</t>
        </is>
      </c>
      <c r="E7" s="4" t="inlineStr">
        <is>
          <t>Settings, Discuss, Odoo.sh</t>
        </is>
      </c>
      <c r="F7" s="5" t="n">
        <v>25</v>
      </c>
      <c r="G7" s="5" t="n">
        <v>35</v>
      </c>
      <c r="H7" s="5" t="n">
        <v>50</v>
      </c>
      <c r="I7" s="6">
        <f>'Assumptions'!$B$3</f>
        <v/>
      </c>
      <c r="J7" s="6">
        <f>G7*I7</f>
        <v/>
      </c>
      <c r="K7" s="4" t="inlineStr">
        <is>
          <t>Low</t>
        </is>
      </c>
      <c r="L7" s="4" t="inlineStr">
        <is>
          <t>License/hosting costs are separate.</t>
        </is>
      </c>
    </row>
    <row r="8">
      <c r="A8" s="4" t="inlineStr">
        <is>
          <t>ACC</t>
        </is>
      </c>
      <c r="B8" s="4" t="inlineStr">
        <is>
          <t>Accounting, invoicing, payments &amp; bank setup</t>
        </is>
      </c>
      <c r="C8" s="4" t="inlineStr">
        <is>
          <t>Accounting demo, Sage chart mapping, payment providers</t>
        </is>
      </c>
      <c r="D8" s="4" t="inlineStr">
        <is>
          <t>US localization, journals, taxes, payment terms, bank sync readiness, payment provider setup, invoice/payment workflow</t>
        </is>
      </c>
      <c r="E8" s="4" t="inlineStr">
        <is>
          <t>Accounting, Invoicing, Payments</t>
        </is>
      </c>
      <c r="F8" s="5" t="n">
        <v>40</v>
      </c>
      <c r="G8" s="5" t="n">
        <v>60</v>
      </c>
      <c r="H8" s="5" t="n">
        <v>90</v>
      </c>
      <c r="I8" s="6">
        <f>'Assumptions'!$B$3</f>
        <v/>
      </c>
      <c r="J8" s="6">
        <f>G8*I8</f>
        <v/>
      </c>
      <c r="K8" s="4" t="inlineStr">
        <is>
          <t>High</t>
        </is>
      </c>
      <c r="L8" s="4" t="inlineStr">
        <is>
          <t>Sage migration depth can change cost.</t>
        </is>
      </c>
    </row>
    <row r="9">
      <c r="A9" s="4" t="inlineStr">
        <is>
          <t>MEM</t>
        </is>
      </c>
      <c r="B9" s="4" t="inlineStr">
        <is>
          <t>Membership plans &amp; prorated billing</t>
        </is>
      </c>
      <c r="C9" s="4" t="inlineStr">
        <is>
          <t>Adult/family plans, prorated invoices, member/non-member</t>
        </is>
      </c>
      <c r="D9" s="4" t="inlineStr">
        <is>
          <t>Membership products, recurring/prorated billing, member status logic, invoices, payments, balances</t>
        </is>
      </c>
      <c r="E9" s="4" t="inlineStr">
        <is>
          <t>Subscriptions, Sales, Invoicing</t>
        </is>
      </c>
      <c r="F9" s="5" t="n">
        <v>45</v>
      </c>
      <c r="G9" s="5" t="n">
        <v>70</v>
      </c>
      <c r="H9" s="5" t="n">
        <v>105</v>
      </c>
      <c r="I9" s="6">
        <f>'Assumptions'!$B$3</f>
        <v/>
      </c>
      <c r="J9" s="6">
        <f>G9*I9</f>
        <v/>
      </c>
      <c r="K9" s="4" t="inlineStr">
        <is>
          <t>High</t>
        </is>
      </c>
      <c r="L9" s="4" t="inlineStr">
        <is>
          <t>Privilege rules should be confirmed in fit-gap.</t>
        </is>
      </c>
    </row>
    <row r="10">
      <c r="A10" s="4" t="inlineStr">
        <is>
          <t>COURT</t>
        </is>
      </c>
      <c r="B10" s="4" t="inlineStr">
        <is>
          <t>Court booking configuration</t>
        </is>
      </c>
      <c r="C10" s="4" t="inlineStr">
        <is>
          <t>$28 court rate, ball machine, seasonal rates, limits</t>
        </is>
      </c>
      <c r="D10" s="4" t="inlineStr">
        <is>
          <t>Courts/resources, time slots, capacity, seasonal pricing, 15-minute validation buffer, non-member annual limit, booking-to-invoice flow</t>
        </is>
      </c>
      <c r="E10" s="4" t="inlineStr">
        <is>
          <t>Appointments, Calendar, Sales</t>
        </is>
      </c>
      <c r="F10" s="5" t="n">
        <v>70</v>
      </c>
      <c r="G10" s="5" t="n">
        <v>110</v>
      </c>
      <c r="H10" s="5" t="n">
        <v>165</v>
      </c>
      <c r="I10" s="6">
        <f>'Assumptions'!$B$3</f>
        <v/>
      </c>
      <c r="J10" s="6">
        <f>G10*I10</f>
        <v/>
      </c>
      <c r="K10" s="4" t="inlineStr">
        <is>
          <t>High</t>
        </is>
      </c>
      <c r="L10" s="4" t="inlineStr">
        <is>
          <t>Reservation rules are the main business-critical area.</t>
        </is>
      </c>
    </row>
    <row r="11">
      <c r="A11" s="4" t="inlineStr">
        <is>
          <t>DASH</t>
        </is>
      </c>
      <c r="B11" s="4" t="inlineStr">
        <is>
          <t>Custom court sheet dashboard</t>
        </is>
      </c>
      <c r="C11" s="4" t="inlineStr">
        <is>
          <t>Interactive dashboard modeled on current Excel/paper sheet</t>
        </is>
      </c>
      <c r="D11" s="4" t="inlineStr">
        <is>
          <t>Daily court grid, court/time view, booking status, staff actions, start/end play flow, billing handoff</t>
        </is>
      </c>
      <c r="E11" s="4" t="inlineStr">
        <is>
          <t>Custom Odoo module, OWL/views</t>
        </is>
      </c>
      <c r="F11" s="5" t="n">
        <v>90</v>
      </c>
      <c r="G11" s="5" t="n">
        <v>140</v>
      </c>
      <c r="H11" s="5" t="n">
        <v>220</v>
      </c>
      <c r="I11" s="6">
        <f>'Assumptions'!$B$3</f>
        <v/>
      </c>
      <c r="J11" s="6">
        <f>G11*I11</f>
        <v/>
      </c>
      <c r="K11" s="4" t="inlineStr">
        <is>
          <t>High</t>
        </is>
      </c>
      <c r="L11" s="4" t="inlineStr">
        <is>
          <t>Needs HD current court-sheet images before final sizing.</t>
        </is>
      </c>
    </row>
    <row r="12">
      <c r="A12" s="4" t="inlineStr">
        <is>
          <t>POS</t>
        </is>
      </c>
      <c r="B12" s="4" t="inlineStr">
        <is>
          <t>Point of Sale retail workflow</t>
        </is>
      </c>
      <c r="C12" s="4" t="inlineStr">
        <is>
          <t>Products available in POS by default; gifts/coupons</t>
        </is>
      </c>
      <c r="D12" s="4" t="inlineStr">
        <is>
          <t>POS shop setup, product default enablement, barcode flow, cash register closing, coupons, gift cards, member pricing readiness</t>
        </is>
      </c>
      <c r="E12" s="4" t="inlineStr">
        <is>
          <t>POS, Barcode, Loyalty</t>
        </is>
      </c>
      <c r="F12" s="5" t="n">
        <v>30</v>
      </c>
      <c r="G12" s="5" t="n">
        <v>50</v>
      </c>
      <c r="H12" s="5" t="n">
        <v>75</v>
      </c>
      <c r="I12" s="6">
        <f>'Assumptions'!$B$3</f>
        <v/>
      </c>
      <c r="J12" s="6">
        <f>G12*I12</f>
        <v/>
      </c>
      <c r="K12" s="4" t="inlineStr">
        <is>
          <t>Medium</t>
        </is>
      </c>
      <c r="L12" s="4" t="inlineStr">
        <is>
          <t>Payment terminal hardware/fees excluded.</t>
        </is>
      </c>
    </row>
    <row r="13">
      <c r="A13" s="4" t="inlineStr">
        <is>
          <t>INV</t>
        </is>
      </c>
      <c r="B13" s="4" t="inlineStr">
        <is>
          <t>Inventory &amp; purchasing</t>
        </is>
      </c>
      <c r="C13" s="4" t="inlineStr">
        <is>
          <t>Purchase orders, stock and forecast reporting</t>
        </is>
      </c>
      <c r="D13" s="4" t="inlineStr">
        <is>
          <t>Products/SKUs, stock locations, vendor records, purchase orders, receipts, basic inventory reports</t>
        </is>
      </c>
      <c r="E13" s="4" t="inlineStr">
        <is>
          <t>Inventory, Purchase</t>
        </is>
      </c>
      <c r="F13" s="5" t="n">
        <v>25</v>
      </c>
      <c r="G13" s="5" t="n">
        <v>45</v>
      </c>
      <c r="H13" s="5" t="n">
        <v>70</v>
      </c>
      <c r="I13" s="6">
        <f>'Assumptions'!$B$3</f>
        <v/>
      </c>
      <c r="J13" s="6">
        <f>G13*I13</f>
        <v/>
      </c>
      <c r="K13" s="4" t="inlineStr">
        <is>
          <t>Medium</t>
        </is>
      </c>
      <c r="L13" s="4" t="inlineStr">
        <is>
          <t>Assumes clean product/vendor list.</t>
        </is>
      </c>
    </row>
    <row r="14">
      <c r="A14" s="4" t="inlineStr">
        <is>
          <t>WEB</t>
        </is>
      </c>
      <c r="B14" s="4" t="inlineStr">
        <is>
          <t>Website and portal foundation</t>
        </is>
      </c>
      <c r="C14" s="4" t="inlineStr">
        <is>
          <t>Replace outdated website if requested</t>
        </is>
      </c>
      <c r="D14" s="4" t="inlineStr">
        <is>
          <t>Basic Odoo website structure, member-facing pages, portal readiness, contact/forms content migration</t>
        </is>
      </c>
      <c r="E14" s="4" t="inlineStr">
        <is>
          <t>Website, Portal</t>
        </is>
      </c>
      <c r="F14" s="5" t="n">
        <v>35</v>
      </c>
      <c r="G14" s="5" t="n">
        <v>60</v>
      </c>
      <c r="H14" s="5" t="n">
        <v>95</v>
      </c>
      <c r="I14" s="6">
        <f>'Assumptions'!$B$3</f>
        <v/>
      </c>
      <c r="J14" s="6">
        <f>G14*I14</f>
        <v/>
      </c>
      <c r="K14" s="4" t="inlineStr">
        <is>
          <t>Medium</t>
        </is>
      </c>
      <c r="L14" s="4" t="inlineStr">
        <is>
          <t>Full marketing redesign or custom theme can be quoted separately.</t>
        </is>
      </c>
    </row>
    <row r="15">
      <c r="A15" s="4" t="inlineStr">
        <is>
          <t>DATA</t>
        </is>
      </c>
      <c r="B15" s="4" t="inlineStr">
        <is>
          <t>Data import and migration</t>
        </is>
      </c>
      <c r="C15" s="4" t="inlineStr">
        <is>
          <t>Current data, Sage/spreadsheets, members/products</t>
        </is>
      </c>
      <c r="D15" s="4" t="inlineStr">
        <is>
          <t>Customer/member import, products, vendors, chart/opening balances, data validation support</t>
        </is>
      </c>
      <c r="E15" s="4" t="inlineStr">
        <is>
          <t>Import tools, Accounting, Contacts</t>
        </is>
      </c>
      <c r="F15" s="5" t="n">
        <v>45</v>
      </c>
      <c r="G15" s="5" t="n">
        <v>70</v>
      </c>
      <c r="H15" s="5" t="n">
        <v>120</v>
      </c>
      <c r="I15" s="6">
        <f>'Assumptions'!$B$3</f>
        <v/>
      </c>
      <c r="J15" s="6">
        <f>G15*I15</f>
        <v/>
      </c>
      <c r="K15" s="4" t="inlineStr">
        <is>
          <t>High</t>
        </is>
      </c>
      <c r="L15" s="4" t="inlineStr">
        <is>
          <t>Depends heavily on source export quality.</t>
        </is>
      </c>
    </row>
    <row r="16">
      <c r="A16" s="4" t="inlineStr">
        <is>
          <t>RPT</t>
        </is>
      </c>
      <c r="B16" s="4" t="inlineStr">
        <is>
          <t>Dashboards and reporting</t>
        </is>
      </c>
      <c r="C16" s="4" t="inlineStr">
        <is>
          <t>Board visibility and operational reporting</t>
        </is>
      </c>
      <c r="D16" s="4" t="inlineStr">
        <is>
          <t>Court utilization, membership KPIs, POS sales, inventory, accounting reports, saved filters</t>
        </is>
      </c>
      <c r="E16" s="4" t="inlineStr">
        <is>
          <t>Dashboards, Spreadsheet BI</t>
        </is>
      </c>
      <c r="F16" s="5" t="n">
        <v>25</v>
      </c>
      <c r="G16" s="5" t="n">
        <v>45</v>
      </c>
      <c r="H16" s="5" t="n">
        <v>80</v>
      </c>
      <c r="I16" s="6">
        <f>'Assumptions'!$B$3</f>
        <v/>
      </c>
      <c r="J16" s="6">
        <f>G16*I16</f>
        <v/>
      </c>
      <c r="K16" s="4" t="inlineStr">
        <is>
          <t>Medium</t>
        </is>
      </c>
      <c r="L16" s="4" t="inlineStr">
        <is>
          <t>KPI definitions to be confirmed.</t>
        </is>
      </c>
    </row>
    <row r="17">
      <c r="A17" s="4" t="inlineStr">
        <is>
          <t>QA</t>
        </is>
      </c>
      <c r="B17" s="4" t="inlineStr">
        <is>
          <t>Testing, UAT, training and go-live</t>
        </is>
      </c>
      <c r="C17" s="4" t="inlineStr">
        <is>
          <t>Board/demo readiness and operational adoption</t>
        </is>
      </c>
      <c r="D17" s="4" t="inlineStr">
        <is>
          <t>Test scripts, UAT support, staff training, go-live checklist, defect triage</t>
        </is>
      </c>
      <c r="E17" s="4" t="inlineStr">
        <is>
          <t>Project, Knowledge</t>
        </is>
      </c>
      <c r="F17" s="5" t="n">
        <v>60</v>
      </c>
      <c r="G17" s="5" t="n">
        <v>95</v>
      </c>
      <c r="H17" s="5" t="n">
        <v>145</v>
      </c>
      <c r="I17" s="6">
        <f>'Assumptions'!$B$3</f>
        <v/>
      </c>
      <c r="J17" s="6">
        <f>G17*I17</f>
        <v/>
      </c>
      <c r="K17" s="4" t="inlineStr">
        <is>
          <t>High</t>
        </is>
      </c>
      <c r="L17" s="4" t="inlineStr">
        <is>
          <t>Includes remote training.</t>
        </is>
      </c>
    </row>
    <row r="18">
      <c r="A18" s="4" t="inlineStr">
        <is>
          <t>SUP</t>
        </is>
      </c>
      <c r="B18" s="4" t="inlineStr">
        <is>
          <t>30-day stabilization support</t>
        </is>
      </c>
      <c r="C18" s="4" t="inlineStr">
        <is>
          <t>Support after launch</t>
        </is>
      </c>
      <c r="D18" s="4" t="inlineStr">
        <is>
          <t>Post-go-live support, minor fixes, workflow tuning, admin handover</t>
        </is>
      </c>
      <c r="E18" s="4" t="inlineStr">
        <is>
          <t>All modules</t>
        </is>
      </c>
      <c r="F18" s="5" t="n">
        <v>30</v>
      </c>
      <c r="G18" s="5" t="n">
        <v>45</v>
      </c>
      <c r="H18" s="5" t="n">
        <v>70</v>
      </c>
      <c r="I18" s="6">
        <f>'Assumptions'!$B$3</f>
        <v/>
      </c>
      <c r="J18" s="6">
        <f>G18*I18</f>
        <v/>
      </c>
      <c r="K18" s="4" t="inlineStr">
        <is>
          <t>Medium</t>
        </is>
      </c>
      <c r="L18" s="4" t="inlineStr">
        <is>
          <t>Ongoing managed support is separate.</t>
        </is>
      </c>
    </row>
    <row r="20">
      <c r="I20" s="11" t="inlineStr">
        <is>
          <t>Implementation subtotal</t>
        </is>
      </c>
      <c r="J20" s="12">
        <f>SUM(J5:J18)</f>
        <v/>
      </c>
    </row>
    <row r="21">
      <c r="I21" s="15" t="inlineStr">
        <is>
          <t>Contingency</t>
        </is>
      </c>
      <c r="J21" s="16">
        <f>J20*'Assumptions'!$B$4</f>
        <v/>
      </c>
    </row>
    <row r="22">
      <c r="I22" s="11" t="inlineStr">
        <is>
          <t>Implementation total</t>
        </is>
      </c>
      <c r="J22" s="12">
        <f>J20+J21</f>
        <v/>
      </c>
    </row>
  </sheetData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40" customWidth="1" min="3" max="3"/>
    <col width="18" customWidth="1" min="4" max="4"/>
    <col width="18" customWidth="1" min="5" max="5"/>
    <col width="48" customWidth="1" min="6" max="6"/>
  </cols>
  <sheetData>
    <row r="1" ht="24" customHeight="1">
      <c r="A1" s="1" t="inlineStr">
        <is>
          <t>Odoo License and Odoo.sh Hosting - USD</t>
        </is>
      </c>
    </row>
    <row r="2">
      <c r="A2" s="2" t="inlineStr">
        <is>
          <t>Uses 5 paid internal users. Portal/customer users are not counted as paid backend users.</t>
        </is>
      </c>
    </row>
    <row r="4" ht="26" customHeight="1">
      <c r="A4" s="8" t="inlineStr">
        <is>
          <t>Input</t>
        </is>
      </c>
      <c r="B4" s="8" t="inlineStr">
        <is>
          <t>Value</t>
        </is>
      </c>
      <c r="C4" s="8" t="inlineStr">
        <is>
          <t>Notes</t>
        </is>
      </c>
    </row>
    <row r="5">
      <c r="A5" s="4" t="inlineStr">
        <is>
          <t>Paid internal users</t>
        </is>
      </c>
      <c r="B5" s="4" t="n">
        <v>5</v>
      </c>
      <c r="C5" s="4" t="inlineStr">
        <is>
          <t>User request. Member/customer portal users are assumed free.</t>
        </is>
      </c>
    </row>
    <row r="6">
      <c r="A6" s="4" t="inlineStr">
        <is>
          <t>Standard annual first-year promo/user/month</t>
        </is>
      </c>
      <c r="B6" s="6" t="n">
        <v>19.9</v>
      </c>
      <c r="C6" s="4" t="inlineStr">
        <is>
          <t>Comparison only; annual billing monthly equivalent.</t>
        </is>
      </c>
    </row>
    <row r="7">
      <c r="A7" s="4" t="inlineStr">
        <is>
          <t>Standard annual list/user/month</t>
        </is>
      </c>
      <c r="B7" s="6" t="n">
        <v>24.9</v>
      </c>
      <c r="C7" s="4" t="inlineStr">
        <is>
          <t>Comparison only.</t>
        </is>
      </c>
    </row>
    <row r="8">
      <c r="A8" s="4" t="inlineStr">
        <is>
          <t>Custom annual first-year promo/user/month</t>
        </is>
      </c>
      <c r="B8" s="6" t="n">
        <v>29.9</v>
      </c>
      <c r="C8" s="4" t="inlineStr">
        <is>
          <t>Recommended first-year price if current discount applies.</t>
        </is>
      </c>
    </row>
    <row r="9">
      <c r="A9" s="4" t="inlineStr">
        <is>
          <t>Custom annual list/user/month</t>
        </is>
      </c>
      <c r="B9" s="6" t="n">
        <v>37.4</v>
      </c>
      <c r="C9" s="4" t="inlineStr">
        <is>
          <t>Recommended conservative/renewal price.</t>
        </is>
      </c>
    </row>
    <row r="10">
      <c r="A10" s="4" t="inlineStr">
        <is>
          <t>Custom monthly list/user/month</t>
        </is>
      </c>
      <c r="B10" s="6" t="n">
        <v>46.8</v>
      </c>
      <c r="C10" s="4" t="inlineStr">
        <is>
          <t>Month-to-month comparison.</t>
        </is>
      </c>
    </row>
    <row r="12" ht="26" customHeight="1">
      <c r="A12" s="8" t="inlineStr">
        <is>
          <t>Plan Scenario</t>
        </is>
      </c>
      <c r="B12" s="8" t="inlineStr">
        <is>
          <t>Included</t>
        </is>
      </c>
      <c r="C12" s="8" t="inlineStr">
        <is>
          <t>Billing</t>
        </is>
      </c>
      <c r="D12" s="8" t="inlineStr">
        <is>
          <t>Monthly Equivalent</t>
        </is>
      </c>
      <c r="E12" s="8" t="inlineStr">
        <is>
          <t>Annual Cost</t>
        </is>
      </c>
      <c r="F12" s="8" t="inlineStr">
        <is>
          <t>Notes</t>
        </is>
      </c>
    </row>
    <row r="13">
      <c r="A13" s="4" t="inlineStr">
        <is>
          <t>Standard - first-year promo</t>
        </is>
      </c>
      <c r="B13" s="4" t="inlineStr">
        <is>
          <t>All apps, Odoo Online</t>
        </is>
      </c>
      <c r="C13" s="4" t="inlineStr">
        <is>
          <t>Annual</t>
        </is>
      </c>
      <c r="D13" s="6">
        <f>$B$5*$B$6</f>
        <v/>
      </c>
      <c r="E13" s="6">
        <f>D13*12</f>
        <v/>
      </c>
      <c r="F13" s="4" t="inlineStr">
        <is>
          <t>Comparison only; not suitable for custom Python modules on Odoo.sh.</t>
        </is>
      </c>
    </row>
    <row r="14">
      <c r="A14" s="4" t="inlineStr">
        <is>
          <t>Standard - annual list</t>
        </is>
      </c>
      <c r="B14" s="4" t="inlineStr">
        <is>
          <t>All apps, Odoo Online</t>
        </is>
      </c>
      <c r="C14" s="4" t="inlineStr">
        <is>
          <t>Annual</t>
        </is>
      </c>
      <c r="D14" s="6">
        <f>$B$5*$B$7</f>
        <v/>
      </c>
      <c r="E14" s="6">
        <f>D14*12</f>
        <v/>
      </c>
      <c r="F14" s="4" t="inlineStr">
        <is>
          <t>Comparison only.</t>
        </is>
      </c>
    </row>
    <row r="15">
      <c r="A15" s="4" t="inlineStr">
        <is>
          <t>Custom - first-year promo</t>
        </is>
      </c>
      <c r="B15" s="4" t="inlineStr">
        <is>
          <t>All apps, Odoo Online/Odoo.sh/on-premise, Studio, Multi-Company, External API</t>
        </is>
      </c>
      <c r="C15" s="4" t="inlineStr">
        <is>
          <t>Annual</t>
        </is>
      </c>
      <c r="D15" s="6">
        <f>$B$5*$B$8</f>
        <v/>
      </c>
      <c r="E15" s="6">
        <f>D15*12</f>
        <v/>
      </c>
      <c r="F15" s="4" t="inlineStr">
        <is>
          <t>Recommended for year-1 budgeting if current promotion applies.</t>
        </is>
      </c>
    </row>
    <row r="16">
      <c r="A16" s="4" t="inlineStr">
        <is>
          <t>Custom - annual list/renewal</t>
        </is>
      </c>
      <c r="B16" s="4" t="inlineStr">
        <is>
          <t>All apps, Odoo Online/Odoo.sh/on-premise, Studio, Multi-Company, External API</t>
        </is>
      </c>
      <c r="C16" s="4" t="inlineStr">
        <is>
          <t>Annual</t>
        </is>
      </c>
      <c r="D16" s="6">
        <f>$B$5*$B$9</f>
        <v/>
      </c>
      <c r="E16" s="6">
        <f>D16*12</f>
        <v/>
      </c>
      <c r="F16" s="4" t="inlineStr">
        <is>
          <t>Recommended conservative budget and recurring renewal planning.</t>
        </is>
      </c>
    </row>
    <row r="17">
      <c r="A17" s="4" t="inlineStr">
        <is>
          <t>Custom - monthly list</t>
        </is>
      </c>
      <c r="B17" s="4" t="inlineStr">
        <is>
          <t>All apps, Custom plan</t>
        </is>
      </c>
      <c r="C17" s="4" t="inlineStr">
        <is>
          <t>Monthly</t>
        </is>
      </c>
      <c r="D17" s="6">
        <f>$B$5*$B$10</f>
        <v/>
      </c>
      <c r="E17" s="6">
        <f>D17*12</f>
        <v/>
      </c>
      <c r="F17" s="4" t="inlineStr">
        <is>
          <t>Comparison only.</t>
        </is>
      </c>
    </row>
    <row r="20" ht="26" customHeight="1">
      <c r="A20" s="8" t="inlineStr">
        <is>
          <t>Odoo.sh Component</t>
        </is>
      </c>
      <c r="B20" s="8" t="inlineStr">
        <is>
          <t>Qty</t>
        </is>
      </c>
      <c r="C20" s="8" t="inlineStr">
        <is>
          <t>Unit Price / Month</t>
        </is>
      </c>
      <c r="D20" s="8" t="inlineStr">
        <is>
          <t>Monthly Equivalent</t>
        </is>
      </c>
      <c r="E20" s="8" t="inlineStr">
        <is>
          <t>Annual Cost</t>
        </is>
      </c>
      <c r="F20" s="8" t="inlineStr">
        <is>
          <t>Notes</t>
        </is>
      </c>
    </row>
    <row r="21">
      <c r="A21" s="4" t="inlineStr">
        <is>
          <t>Worker</t>
        </is>
      </c>
      <c r="B21" s="4" t="n">
        <v>1</v>
      </c>
      <c r="C21" s="6" t="n">
        <v>57.6</v>
      </c>
      <c r="D21" s="6">
        <f>B21*C21</f>
        <v/>
      </c>
      <c r="E21" s="6">
        <f>D21*12</f>
        <v/>
      </c>
      <c r="F21" s="4" t="inlineStr">
        <is>
          <t>Annual billing monthly equivalent. Shared hosting baseline.</t>
        </is>
      </c>
    </row>
    <row r="22">
      <c r="A22" s="4" t="inlineStr">
        <is>
          <t>Storage (GB)</t>
        </is>
      </c>
      <c r="B22" s="4" t="n">
        <v>50</v>
      </c>
      <c r="C22" s="6" t="n">
        <v>0.2</v>
      </c>
      <c r="D22" s="6">
        <f>B22*C22</f>
        <v/>
      </c>
      <c r="E22" s="6">
        <f>D22*12</f>
        <v/>
      </c>
      <c r="F22" s="4" t="inlineStr">
        <is>
          <t>50 GB matches meeting estimate basis.</t>
        </is>
      </c>
    </row>
    <row r="23">
      <c r="A23" s="4" t="inlineStr">
        <is>
          <t>Staging environment</t>
        </is>
      </c>
      <c r="B23" s="4" t="n">
        <v>1</v>
      </c>
      <c r="C23" s="6" t="n">
        <v>14.4</v>
      </c>
      <c r="D23" s="6">
        <f>B23*C23</f>
        <v/>
      </c>
      <c r="E23" s="6">
        <f>D23*12</f>
        <v/>
      </c>
      <c r="F23" s="4" t="inlineStr">
        <is>
          <t>Recommended for testing custom court dashboard changes.</t>
        </is>
      </c>
    </row>
    <row r="24">
      <c r="A24" s="13" t="inlineStr">
        <is>
          <t>Odoo.sh total with staging</t>
        </is>
      </c>
      <c r="B24" s="13" t="n"/>
      <c r="C24" s="14" t="n"/>
      <c r="D24" s="14">
        <f>SUM(D21:D23)</f>
        <v/>
      </c>
      <c r="E24" s="14">
        <f>SUM(E21:E23)</f>
        <v/>
      </c>
      <c r="F24" s="13" t="inlineStr">
        <is>
          <t>This does not include the Odoo Enterprise license.</t>
        </is>
      </c>
    </row>
    <row r="25">
      <c r="A25" s="13" t="inlineStr">
        <is>
          <t>Odoo.sh total without staging</t>
        </is>
      </c>
      <c r="B25" s="13" t="n"/>
      <c r="C25" s="14" t="n"/>
      <c r="D25" s="14">
        <f>D21+D22</f>
        <v/>
      </c>
      <c r="E25" s="14">
        <f>E21+E22</f>
        <v/>
      </c>
      <c r="F25" s="13" t="inlineStr">
        <is>
          <t>Matches the approximate $811/year figure discussed in the meeting.</t>
        </is>
      </c>
    </row>
    <row r="29">
      <c r="A29" s="7" t="inlineStr">
        <is>
          <t>License and Hosting Notes</t>
        </is>
      </c>
    </row>
    <row r="30">
      <c r="A30" s="4" t="inlineStr">
        <is>
          <t>Odoo.sh is separate from the Enterprise license. The Odoo.sh hosting price does not include the Odoo Enterprise license.</t>
        </is>
      </c>
      <c r="B30" s="22" t="n"/>
      <c r="C30" s="22" t="n"/>
      <c r="D30" s="22" t="n"/>
      <c r="E30" s="22" t="n"/>
      <c r="F30" s="23" t="n"/>
    </row>
    <row r="31">
      <c r="A31" s="4" t="inlineStr">
        <is>
          <t>Custom plan is recommended because Odoo.sh/custom Python modules and external API/customization needs are in scope.</t>
        </is>
      </c>
      <c r="B31" s="22" t="n"/>
      <c r="C31" s="22" t="n"/>
      <c r="D31" s="22" t="n"/>
      <c r="E31" s="22" t="n"/>
      <c r="F31" s="23" t="n"/>
    </row>
    <row r="32">
      <c r="A32" s="4" t="inlineStr">
        <is>
          <t>Current Odoo first-year discounts can change; use the list/renewal price for conservative board budgeting.</t>
        </is>
      </c>
      <c r="B32" s="22" t="n"/>
      <c r="C32" s="22" t="n"/>
      <c r="D32" s="22" t="n"/>
      <c r="E32" s="22" t="n"/>
      <c r="F32" s="23" t="n"/>
    </row>
    <row r="33">
      <c r="A33" s="4" t="inlineStr">
        <is>
          <t>The Odoo.sh worker/storage/staging numbers should be rechecked before contract signature and increased if public online booking traffic grows.</t>
        </is>
      </c>
      <c r="B33" s="22" t="n"/>
      <c r="C33" s="22" t="n"/>
      <c r="D33" s="22" t="n"/>
      <c r="E33" s="22" t="n"/>
      <c r="F33" s="23" t="n"/>
    </row>
  </sheetData>
  <mergeCells count="5">
    <mergeCell ref="A33:F33"/>
    <mergeCell ref="A32:F32"/>
    <mergeCell ref="A31:F31"/>
    <mergeCell ref="A30:F30"/>
    <mergeCell ref="A29:F29"/>
  </mergeCells>
  <pageMargins left="0.25" right="0.25" top="0.5" bottom="0.5" header="0.5" footer="0.5"/>
  <pageSetup fitToHeight="0" fitToWidth="1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8" customWidth="1" min="5" max="5"/>
    <col width="18" customWidth="1" min="6" max="6"/>
    <col width="18" customWidth="1" min="7" max="7"/>
    <col width="44" customWidth="1" min="8" max="8"/>
  </cols>
  <sheetData>
    <row r="1" ht="24" customHeight="1">
      <c r="A1" s="1" t="inlineStr">
        <is>
          <t>Full BRD Expansion Budget Guide</t>
        </is>
      </c>
    </row>
    <row r="2">
      <c r="A2" s="2" t="inlineStr">
        <is>
          <t>Optional view if the complete 72-page BRD is implemented as a larger program rather than only the meeting MVP.</t>
        </is>
      </c>
    </row>
    <row r="4" ht="26" customHeight="1">
      <c r="A4" s="8" t="inlineStr">
        <is>
          <t>Scenario</t>
        </is>
      </c>
      <c r="B4" s="8" t="inlineStr">
        <is>
          <t>Low Hours</t>
        </is>
      </c>
      <c r="C4" s="8" t="inlineStr">
        <is>
          <t>Base Hours</t>
        </is>
      </c>
      <c r="D4" s="8" t="inlineStr">
        <is>
          <t>High Hours</t>
        </is>
      </c>
      <c r="E4" s="8" t="inlineStr">
        <is>
          <t>Low Cost</t>
        </is>
      </c>
      <c r="F4" s="8" t="inlineStr">
        <is>
          <t>Base Cost</t>
        </is>
      </c>
      <c r="G4" s="8" t="inlineStr">
        <is>
          <t>High Cost</t>
        </is>
      </c>
      <c r="H4" s="8" t="inlineStr">
        <is>
          <t>Notes</t>
        </is>
      </c>
    </row>
    <row r="5">
      <c r="A5" s="4" t="inlineStr">
        <is>
          <t>Full BRD implementation</t>
        </is>
      </c>
      <c r="B5" s="5" t="n">
        <v>1575</v>
      </c>
      <c r="C5" s="5" t="n">
        <v>2275</v>
      </c>
      <c r="D5" s="5" t="n">
        <v>3200</v>
      </c>
      <c r="E5" s="6">
        <f>B5*'Assumptions'!$B$3</f>
        <v/>
      </c>
      <c r="F5" s="6">
        <f>C5*'Assumptions'!$B$3</f>
        <v/>
      </c>
      <c r="G5" s="6">
        <f>D5*'Assumptions'!$B$3</f>
        <v/>
      </c>
      <c r="H5" s="4" t="inlineStr">
        <is>
          <t>Based on the available BRD review estimate in the workspace.</t>
        </is>
      </c>
    </row>
    <row r="6">
      <c r="A6" s="4" t="inlineStr">
        <is>
          <t>Contingency</t>
        </is>
      </c>
      <c r="B6" s="5" t="n"/>
      <c r="C6" s="5" t="n"/>
      <c r="D6" s="5" t="n"/>
      <c r="E6" s="6">
        <f>E5*'Assumptions'!$B$4</f>
        <v/>
      </c>
      <c r="F6" s="6">
        <f>F5*'Assumptions'!$B$4</f>
        <v/>
      </c>
      <c r="G6" s="6">
        <f>G5*'Assumptions'!$B$4</f>
        <v/>
      </c>
      <c r="H6" s="4" t="inlineStr">
        <is>
          <t>Planning contingency.</t>
        </is>
      </c>
    </row>
    <row r="7">
      <c r="A7" s="11" t="inlineStr">
        <is>
          <t>Full BRD implementation total</t>
        </is>
      </c>
      <c r="B7" s="17" t="n"/>
      <c r="C7" s="17" t="n"/>
      <c r="D7" s="17" t="n"/>
      <c r="E7" s="12">
        <f>E5+E6</f>
        <v/>
      </c>
      <c r="F7" s="12">
        <f>F5+F6</f>
        <v/>
      </c>
      <c r="G7" s="12">
        <f>G5+G6</f>
        <v/>
      </c>
      <c r="H7" s="11" t="inlineStr">
        <is>
          <t>Implementation only; excludes license, Odoo.sh, hardware, processor fees, SMS credits, and post-stabilization support.</t>
        </is>
      </c>
    </row>
    <row r="8">
      <c r="A8" s="13" t="inlineStr">
        <is>
          <t>Full BRD first-year total - base</t>
        </is>
      </c>
      <c r="B8" s="18" t="n"/>
      <c r="C8" s="18" t="n"/>
      <c r="D8" s="18" t="n"/>
      <c r="E8" s="14" t="n"/>
      <c r="F8" s="14">
        <f>F7+'Odoo License &amp; Hosting'!E15+'Odoo License &amp; Hosting'!E24</f>
        <v/>
      </c>
      <c r="G8" s="14" t="n"/>
      <c r="H8" s="13" t="inlineStr">
        <is>
          <t>Base implementation + Custom first-year promo license + Odoo.sh with staging.</t>
        </is>
      </c>
    </row>
    <row r="11">
      <c r="A11" s="7" t="inlineStr">
        <is>
          <t>Full BRD Workstreams Included</t>
        </is>
      </c>
    </row>
    <row r="12">
      <c r="A12" s="4" t="inlineStr">
        <is>
          <t>CRM/customer master, household/family relationships, documents and customer communication history.</t>
        </is>
      </c>
      <c r="B12" s="22" t="n"/>
      <c r="C12" s="22" t="n"/>
      <c r="D12" s="22" t="n"/>
      <c r="E12" s="22" t="n"/>
      <c r="F12" s="22" t="n"/>
      <c r="G12" s="22" t="n"/>
      <c r="H12" s="23" t="n"/>
    </row>
    <row r="13">
      <c r="A13" s="4" t="inlineStr">
        <is>
          <t>Membership management, recurring billing, statements, guest/non-member privileges, and portal readiness.</t>
        </is>
      </c>
      <c r="B13" s="22" t="n"/>
      <c r="C13" s="22" t="n"/>
      <c r="D13" s="22" t="n"/>
      <c r="E13" s="22" t="n"/>
      <c r="F13" s="22" t="n"/>
      <c r="G13" s="22" t="n"/>
      <c r="H13" s="23" t="n"/>
    </row>
    <row r="14">
      <c r="A14" s="4" t="inlineStr">
        <is>
          <t>Court scheduling, programs/lessons/clinics/leagues, instructor scheduling, waitlists, utilization analytics.</t>
        </is>
      </c>
      <c r="B14" s="22" t="n"/>
      <c r="C14" s="22" t="n"/>
      <c r="D14" s="22" t="n"/>
      <c r="E14" s="22" t="n"/>
      <c r="F14" s="22" t="n"/>
      <c r="G14" s="22" t="n"/>
      <c r="H14" s="23" t="n"/>
    </row>
    <row r="15">
      <c r="A15" s="4" t="inlineStr">
        <is>
          <t>POS, barcode, gift cards/coupons, inventory, purchasing, accounting, Sage data migration, reports, roles and approvals.</t>
        </is>
      </c>
      <c r="B15" s="22" t="n"/>
      <c r="C15" s="22" t="n"/>
      <c r="D15" s="22" t="n"/>
      <c r="E15" s="22" t="n"/>
      <c r="F15" s="22" t="n"/>
      <c r="G15" s="22" t="n"/>
      <c r="H15" s="23" t="n"/>
    </row>
    <row r="16">
      <c r="A16" s="4" t="inlineStr">
        <is>
          <t>Payroll/HR scope remains dependent on selected US payroll provider/compliance approach.</t>
        </is>
      </c>
      <c r="B16" s="22" t="n"/>
      <c r="C16" s="22" t="n"/>
      <c r="D16" s="22" t="n"/>
      <c r="E16" s="22" t="n"/>
      <c r="F16" s="22" t="n"/>
      <c r="G16" s="22" t="n"/>
      <c r="H16" s="23" t="n"/>
    </row>
  </sheetData>
  <mergeCells count="6">
    <mergeCell ref="A12:H12"/>
    <mergeCell ref="A15:H15"/>
    <mergeCell ref="A16:H16"/>
    <mergeCell ref="A13:H13"/>
    <mergeCell ref="A11:H11"/>
    <mergeCell ref="A14:H14"/>
  </mergeCells>
  <pageMargins left="0.25" right="0.2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54" customWidth="1" min="2" max="2"/>
    <col width="54" customWidth="1" min="3" max="3"/>
    <col width="18" customWidth="1" min="4" max="4"/>
  </cols>
  <sheetData>
    <row r="1" ht="24" customHeight="1">
      <c r="A1" s="1" t="inlineStr">
        <is>
          <t>Meeting Notes - Requirements Used for Estimate</t>
        </is>
      </c>
    </row>
    <row r="2">
      <c r="A2" s="2" t="inlineStr">
        <is>
          <t>Extracted from the downloaded Gemini notes and aligned to the available BRD.</t>
        </is>
      </c>
    </row>
    <row r="4" ht="26" customHeight="1">
      <c r="A4" s="8" t="inlineStr">
        <is>
          <t>Area</t>
        </is>
      </c>
      <c r="B4" s="8" t="inlineStr">
        <is>
          <t>Meeting Requirement</t>
        </is>
      </c>
      <c r="C4" s="8" t="inlineStr">
        <is>
          <t>Costing Interpretation</t>
        </is>
      </c>
      <c r="D4" s="8" t="inlineStr">
        <is>
          <t>Priority</t>
        </is>
      </c>
    </row>
    <row r="5">
      <c r="A5" s="4" t="inlineStr">
        <is>
          <t>Court booking</t>
        </is>
      </c>
      <c r="B5" s="4" t="inlineStr">
        <is>
          <t>$28 hourly court rate; full court or per-seat booking; start/end play cycle; 15-minute buffer validation.</t>
        </is>
      </c>
      <c r="C5" s="4" t="inlineStr">
        <is>
          <t>Configure court resources, booking products, validation rules, and billing handoff.</t>
        </is>
      </c>
      <c r="D5" s="4" t="inlineStr">
        <is>
          <t>High</t>
        </is>
      </c>
    </row>
    <row r="6">
      <c r="A6" s="4" t="inlineStr">
        <is>
          <t>Custom dashboard</t>
        </is>
      </c>
      <c r="B6" s="4" t="inlineStr">
        <is>
          <t>Interactive court scheduling dashboard modeled after current Excel/court sheet.</t>
        </is>
      </c>
      <c r="C6" s="4" t="inlineStr">
        <is>
          <t>Custom module/dashboard is the highest-risk build item and requires current sheet images.</t>
        </is>
      </c>
      <c r="D6" s="4" t="inlineStr">
        <is>
          <t>High</t>
        </is>
      </c>
    </row>
    <row r="7">
      <c r="A7" s="4" t="inlineStr">
        <is>
          <t>Membership</t>
        </is>
      </c>
      <c r="B7" s="4" t="inlineStr">
        <is>
          <t>Adult/family membership plans, prorated billing, members vs non-members, annual non-member booking limit.</t>
        </is>
      </c>
      <c r="C7" s="4" t="inlineStr">
        <is>
          <t>Configure plans, recurring/prorated invoices, membership status, and booking privileges.</t>
        </is>
      </c>
      <c r="D7" s="4" t="inlineStr">
        <is>
          <t>High</t>
        </is>
      </c>
    </row>
    <row r="8">
      <c r="A8" s="4" t="inlineStr">
        <is>
          <t>POS</t>
        </is>
      </c>
      <c r="B8" s="4" t="inlineStr">
        <is>
          <t>Products should default to available in POS; barcode, cash payments, closing, gift cards and coupons demonstrated.</t>
        </is>
      </c>
      <c r="C8" s="4" t="inlineStr">
        <is>
          <t>Configure POS and small customization/automation for product POS availability defaults.</t>
        </is>
      </c>
      <c r="D8" s="4" t="inlineStr">
        <is>
          <t>Medium</t>
        </is>
      </c>
    </row>
    <row r="9">
      <c r="A9" s="4" t="inlineStr">
        <is>
          <t>Accounting</t>
        </is>
      </c>
      <c r="B9" s="4" t="inlineStr">
        <is>
          <t>US localization/USD, invoices, bills, bank integration, PayPal/payment provider, Sage chart migration discussion.</t>
        </is>
      </c>
      <c r="C9" s="4" t="inlineStr">
        <is>
          <t>Accounting setup, payment provider config, CoA/Sage mapping, reconciliation workflow.</t>
        </is>
      </c>
      <c r="D9" s="4" t="inlineStr">
        <is>
          <t>High</t>
        </is>
      </c>
    </row>
    <row r="10">
      <c r="A10" s="4" t="inlineStr">
        <is>
          <t>Inventory/Purchase</t>
        </is>
      </c>
      <c r="B10" s="4" t="inlineStr">
        <is>
          <t>Purchase quotations, vendors, product tracking, free stock and forecast reporting.</t>
        </is>
      </c>
      <c r="C10" s="4" t="inlineStr">
        <is>
          <t>Product/vendor setup, purchase flow, receiving, stock rules, reports.</t>
        </is>
      </c>
      <c r="D10" s="4" t="inlineStr">
        <is>
          <t>Medium</t>
        </is>
      </c>
    </row>
    <row r="11">
      <c r="A11" s="4" t="inlineStr">
        <is>
          <t>Website</t>
        </is>
      </c>
      <c r="B11" s="4" t="inlineStr">
        <is>
          <t>Existing site is outdated and current hosting is about $12/month; Odoo website may replace it if requested.</t>
        </is>
      </c>
      <c r="C11" s="4" t="inlineStr">
        <is>
          <t>Include foundation-level Odoo website/portal setup; full redesign remains optional.</t>
        </is>
      </c>
      <c r="D11" s="4" t="inlineStr">
        <is>
          <t>Medium</t>
        </is>
      </c>
    </row>
    <row r="12">
      <c r="A12" s="4" t="inlineStr">
        <is>
          <t>Hosting</t>
        </is>
      </c>
      <c r="B12" s="4" t="inlineStr">
        <is>
          <t>Odoo.sh and Deploy ERP discussed; request specifically asks for Odoo.sh pricing.</t>
        </is>
      </c>
      <c r="C12" s="4" t="inlineStr">
        <is>
          <t>Use Odoo.sh shared hosting estimate: 1 worker, 50GB, 1 staging env.</t>
        </is>
      </c>
      <c r="D12" s="4" t="inlineStr">
        <is>
          <t>High</t>
        </is>
      </c>
    </row>
    <row r="13">
      <c r="A13" s="4" t="inlineStr">
        <is>
          <t>Engagement</t>
        </is>
      </c>
      <c r="B13" s="4" t="inlineStr">
        <is>
          <t>Hourly billing package vs fixed price discussed; board needs ballpark estimate.</t>
        </is>
      </c>
      <c r="C13" s="4" t="inlineStr">
        <is>
          <t>Workbook uses editable hourly-rate planning estimate; fixed price requires final scope sign-off.</t>
        </is>
      </c>
      <c r="D13" s="4" t="inlineStr">
        <is>
          <t>High</t>
        </is>
      </c>
    </row>
  </sheetData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64" customWidth="1" min="3" max="3"/>
  </cols>
  <sheetData>
    <row r="1" ht="24" customHeight="1">
      <c r="A1" s="1" t="inlineStr">
        <is>
          <t>Assumptions and Exclusions</t>
        </is>
      </c>
    </row>
    <row r="2">
      <c r="A2" s="2" t="inlineStr">
        <is>
          <t>Edit the rate, contingency, users, and hosting quantities to revise totals.</t>
        </is>
      </c>
    </row>
    <row r="4" ht="26" customHeight="1">
      <c r="A4" s="8" t="inlineStr">
        <is>
          <t>Assumption</t>
        </is>
      </c>
      <c r="B4" s="8" t="inlineStr">
        <is>
          <t>Value</t>
        </is>
      </c>
      <c r="C4" s="8" t="inlineStr">
        <is>
          <t>Notes</t>
        </is>
      </c>
    </row>
    <row r="5">
      <c r="A5" s="4" t="inlineStr">
        <is>
          <t>Currency</t>
        </is>
      </c>
      <c r="B5" s="4" t="inlineStr">
        <is>
          <t>USD</t>
        </is>
      </c>
      <c r="C5" s="4" t="inlineStr">
        <is>
          <t>All amounts are shown in USD.</t>
        </is>
      </c>
    </row>
    <row r="6">
      <c r="A6" s="4" t="inlineStr">
        <is>
          <t>Implementation hourly rate USD</t>
        </is>
      </c>
      <c r="B6" s="19" t="n">
        <v>28</v>
      </c>
      <c r="C6" s="4" t="inlineStr">
        <is>
          <t>Editable planning rate based on remote delivery. Update this cell to change implementation totals.</t>
        </is>
      </c>
    </row>
    <row r="7">
      <c r="A7" s="4" t="inlineStr">
        <is>
          <t>Implementation contingency %</t>
        </is>
      </c>
      <c r="B7" s="20" t="n">
        <v>0.15</v>
      </c>
      <c r="C7" s="4" t="inlineStr">
        <is>
          <t>Editable contingency for unknowns, fit-gap, data quality, and custom dashboard risk.</t>
        </is>
      </c>
    </row>
    <row r="8">
      <c r="A8" s="4" t="inlineStr">
        <is>
          <t>Paid internal users</t>
        </is>
      </c>
      <c r="B8" s="21" t="n">
        <v>5</v>
      </c>
      <c r="C8" s="4" t="inlineStr">
        <is>
          <t>User request. Customer/member portal users are excluded from paid backend user count.</t>
        </is>
      </c>
    </row>
    <row r="9">
      <c r="A9" s="4" t="inlineStr">
        <is>
          <t>Recommended Odoo plan</t>
        </is>
      </c>
      <c r="B9" s="4" t="inlineStr">
        <is>
          <t>Custom - annual billing</t>
        </is>
      </c>
      <c r="C9" s="4" t="inlineStr">
        <is>
          <t>Needed for Odoo.sh/custom modules, Studio-style customization, multi-company/API availability.</t>
        </is>
      </c>
    </row>
    <row r="10">
      <c r="A10" s="4" t="inlineStr">
        <is>
          <t>Odoo.sh baseline</t>
        </is>
      </c>
      <c r="B10" s="4" t="inlineStr">
        <is>
          <t>1 worker, 50 GB, 1 staging</t>
        </is>
      </c>
      <c r="C10" s="4" t="inlineStr">
        <is>
          <t>Shared hosting estimate for small internal team and testing custom code. Scale if public traffic grows.</t>
        </is>
      </c>
    </row>
    <row r="11">
      <c r="A11" s="4" t="inlineStr">
        <is>
          <t>Quote type</t>
        </is>
      </c>
      <c r="B11" s="4" t="inlineStr">
        <is>
          <t>Planning estimate</t>
        </is>
      </c>
      <c r="C11" s="4" t="inlineStr">
        <is>
          <t>Not a binding quote. Fixed price needs signed scope, sample data, and HD court sheet images.</t>
        </is>
      </c>
    </row>
    <row r="12">
      <c r="A12" s="4" t="inlineStr">
        <is>
          <t>Scope source</t>
        </is>
      </c>
      <c r="B12" s="4" t="inlineStr">
        <is>
          <t>Meeting notes + available BRD</t>
        </is>
      </c>
      <c r="C12" s="4" t="inlineStr">
        <is>
          <t>Meeting notes drive MVP; full BRD tab shows broader program budget.</t>
        </is>
      </c>
    </row>
    <row r="13">
      <c r="A13" s="4" t="inlineStr">
        <is>
          <t>Website</t>
        </is>
      </c>
      <c r="B13" s="4" t="inlineStr">
        <is>
          <t>Foundation only</t>
        </is>
      </c>
      <c r="C13" s="4" t="inlineStr">
        <is>
          <t>Full brand redesign, copywriting, custom theme, SEO campaign, and media production are excluded unless added.</t>
        </is>
      </c>
    </row>
    <row r="14">
      <c r="A14" s="4" t="inlineStr">
        <is>
          <t>Payment/SMS/IAP</t>
        </is>
      </c>
      <c r="B14" s="4" t="inlineStr">
        <is>
          <t>Excluded</t>
        </is>
      </c>
      <c r="C14" s="4" t="inlineStr">
        <is>
          <t>Payment processor charges, terminals, SMS credits, lead credits, AI document credits, and third-party app fees are excluded.</t>
        </is>
      </c>
    </row>
    <row r="15">
      <c r="A15" s="4" t="inlineStr">
        <is>
          <t>Hardware</t>
        </is>
      </c>
      <c r="B15" s="4" t="inlineStr">
        <is>
          <t>Excluded</t>
        </is>
      </c>
      <c r="C15" s="4" t="inlineStr">
        <is>
          <t>Barcode scanners, receipt printers, cash drawers, tablets, POS terminals, and networking hardware are excluded.</t>
        </is>
      </c>
    </row>
    <row r="16">
      <c r="A16" s="4" t="inlineStr">
        <is>
          <t>Data migration</t>
        </is>
      </c>
      <c r="B16" s="4" t="inlineStr">
        <is>
          <t>Limited active data</t>
        </is>
      </c>
      <c r="C16" s="4" t="inlineStr">
        <is>
          <t>Historical transaction migration beyond agreed opening balances and active operational data is excluded.</t>
        </is>
      </c>
    </row>
    <row r="17">
      <c r="A17" s="4" t="inlineStr">
        <is>
          <t>Payroll</t>
        </is>
      </c>
      <c r="B17" s="4" t="inlineStr">
        <is>
          <t>To confirm</t>
        </is>
      </c>
      <c r="C17" s="4" t="inlineStr">
        <is>
          <t>US payroll compliance/provider approach must be confirmed before final payroll implementation cost.</t>
        </is>
      </c>
    </row>
    <row r="18">
      <c r="A18" s="4" t="inlineStr">
        <is>
          <t>Support</t>
        </is>
      </c>
      <c r="B18" s="4" t="inlineStr">
        <is>
          <t>30-day stabilization included</t>
        </is>
      </c>
      <c r="C18" s="4" t="inlineStr">
        <is>
          <t>Managed support after stabilization is separate.</t>
        </is>
      </c>
    </row>
  </sheetData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72" customWidth="1" min="2" max="2"/>
    <col width="72" customWidth="1" min="3" max="3"/>
  </cols>
  <sheetData>
    <row r="1" ht="24" customHeight="1">
      <c r="A1" s="1" t="inlineStr">
        <is>
          <t>Sources and Pricing References</t>
        </is>
      </c>
    </row>
    <row r="2">
      <c r="A2" s="2" t="inlineStr">
        <is>
          <t>Pricing should be validated again with Odoo before contract signature because regional prices and promotions can change.</t>
        </is>
      </c>
    </row>
    <row r="4" ht="26" customHeight="1">
      <c r="A4" s="8" t="inlineStr">
        <is>
          <t>Source</t>
        </is>
      </c>
      <c r="B4" s="8" t="inlineStr">
        <is>
          <t>Reference</t>
        </is>
      </c>
      <c r="C4" s="8" t="inlineStr">
        <is>
          <t>Use in Estimate</t>
        </is>
      </c>
    </row>
    <row r="5">
      <c r="A5" s="4" t="inlineStr">
        <is>
          <t>Meeting notes PDF</t>
        </is>
      </c>
      <c r="B5" s="4" t="inlineStr">
        <is>
          <t>Odoo ERP Demo _ Dean Verstegen _ Fox Cities Racquet Club - 2026_07_15 19_59 IST - Notes by Gemini.pdf</t>
        </is>
      </c>
      <c r="C5" s="4" t="inlineStr">
        <is>
          <t>Primary source for meeting decisions, next steps, and demo requirements.</t>
        </is>
      </c>
    </row>
    <row r="6">
      <c r="A6" s="4" t="inlineStr">
        <is>
          <t>Available BRD</t>
        </is>
      </c>
      <c r="B6" s="4" t="inlineStr">
        <is>
          <t>Fox Cities Racquet Club - Odoo Business Requirements Document v1 (1).pdf / .txt</t>
        </is>
      </c>
      <c r="C6" s="4" t="inlineStr">
        <is>
          <t>Used to validate broader scope and optional full-BRD expansion budget.</t>
        </is>
      </c>
    </row>
    <row r="7">
      <c r="A7" s="4" t="inlineStr">
        <is>
          <t>Official Odoo pricing</t>
        </is>
      </c>
      <c r="B7" s="4" t="inlineStr">
        <is>
          <t>https://www.odoo.com/pricing</t>
        </is>
      </c>
      <c r="C7" s="4" t="inlineStr">
        <is>
          <t>Custom plan includes all apps plus Odoo.sh/on-premise option, Studio, multi-company and external API; Odoo.sh hosting is not included in license.</t>
        </is>
      </c>
    </row>
    <row r="8">
      <c r="A8" s="4" t="inlineStr">
        <is>
          <t>Official Odoo configurator</t>
        </is>
      </c>
      <c r="B8" s="4" t="inlineStr">
        <is>
          <t>https://www.odoo.com/pricing-configurator</t>
        </is>
      </c>
      <c r="C8" s="4" t="inlineStr">
        <is>
          <t>Used for Custom/Standard annual and monthly planning rates; final quote should be confirmed by billing country.</t>
        </is>
      </c>
    </row>
    <row r="9">
      <c r="A9" s="4" t="inlineStr">
        <is>
          <t>Official Odoo.sh pricing</t>
        </is>
      </c>
      <c r="B9" s="4" t="inlineStr">
        <is>
          <t>https://www.odoo.sh/pricing</t>
        </is>
      </c>
      <c r="C9" s="4" t="inlineStr">
        <is>
          <t>Used for Odoo.sh workers, storage, staging environment, and hosting-excludes-license note.</t>
        </is>
      </c>
    </row>
    <row r="10">
      <c r="A10" s="4" t="inlineStr">
        <is>
          <t>Read-only system check</t>
        </is>
      </c>
      <c r="B10" s="4" t="inlineStr">
        <is>
          <t>Configured Odoo database company currency is USD.</t>
        </is>
      </c>
      <c r="C10" s="4" t="inlineStr">
        <is>
          <t>Confirmed the configured demo context is USD without creating or modifying records.</t>
        </is>
      </c>
    </row>
  </sheetData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2026-07-17T06:33:25Z</dcterms:created>
  <dcterms:modified xmlns:dcterms="http://purl.org/dc/terms/" xmlns:xsi="http://www.w3.org/2001/XMLSchema-instance" xsi:type="dcterms:W3CDTF">2026-07-17T06:34:00Z</dcterms:modified>
</cp:coreProperties>
</file>