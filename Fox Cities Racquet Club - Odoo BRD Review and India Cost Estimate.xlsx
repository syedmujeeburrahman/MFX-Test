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D Review" sheetId="2" state="visible" r:id="rId2"/>
    <sheet xmlns:r="http://schemas.openxmlformats.org/officeDocument/2006/relationships" name="Fit Gap" sheetId="3" state="visible" r:id="rId3"/>
    <sheet xmlns:r="http://schemas.openxmlformats.org/officeDocument/2006/relationships" name="Implementation Cost" sheetId="4" state="visible" r:id="rId4"/>
    <sheet xmlns:r="http://schemas.openxmlformats.org/officeDocument/2006/relationships" name="Odoo License Cost" sheetId="5" state="visible" r:id="rId5"/>
    <sheet xmlns:r="http://schemas.openxmlformats.org/officeDocument/2006/relationships" name="Hardware &amp; Third Party" sheetId="6" state="visible" r:id="rId6"/>
    <sheet xmlns:r="http://schemas.openxmlformats.org/officeDocument/2006/relationships" name="Phasing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Clarifications" sheetId="9" state="visible" r:id="rId9"/>
    <sheet xmlns:r="http://schemas.openxmlformats.org/officeDocument/2006/relationships" name="Traceability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INR #,##0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Delivery Base Cost by Workstream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'Implementation Cost'!K1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'Implementation Cost'!$B$2:$B$20</f>
            </numRef>
          </cat>
          <val>
            <numRef>
              <f>'Implementation Cost'!$K$2:$K$20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Workstream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DReviewTable" displayName="BRDReviewTable" ref="A1:C9" headerRowCount="1">
  <autoFilter ref="A1:C9"/>
  <tableColumns count="3">
    <tableColumn id="1" name="Area"/>
    <tableColumn id="2" name="Review Finding"/>
    <tableColumn id="3" name="Action / Recommendation"/>
  </tableColumns>
  <tableStyleInfo name="TableStyleMedium2" showRowStripes="1"/>
</table>
</file>

<file path=xl/tables/table2.xml><?xml version="1.0" encoding="utf-8"?>
<table xmlns="http://schemas.openxmlformats.org/spreadsheetml/2006/main" id="2" name="FitGapTable" displayName="FitGapTable" ref="A1:F13" headerRowCount="1">
  <autoFilter ref="A1:F13"/>
  <tableColumns count="6">
    <tableColumn id="1" name="Workstream"/>
    <tableColumn id="2" name="Likely Odoo Apps"/>
    <tableColumn id="3" name="Fit Level"/>
    <tableColumn id="4" name="Key BRD Needs"/>
    <tableColumn id="5" name="Complexity"/>
    <tableColumn id="6" name="India Delivery Recommendation"/>
  </tableColumns>
  <tableStyleInfo name="TableStyleMedium2" showRowStripes="1"/>
</table>
</file>

<file path=xl/tables/table3.xml><?xml version="1.0" encoding="utf-8"?>
<table xmlns="http://schemas.openxmlformats.org/spreadsheetml/2006/main" id="3" name="IndiaImplementationCost" displayName="IndiaImplementationCost" ref="A1:L20" headerRowCount="1">
  <autoFilter ref="A1:L20"/>
  <tableColumns count="12">
    <tableColumn id="1" name="WBS"/>
    <tableColumn id="2" name="Workstream"/>
    <tableColumn id="3" name="BRD Coverage"/>
    <tableColumn id="4" name="Scope Included"/>
    <tableColumn id="5" name="Odoo Apps / Components"/>
    <tableColumn id="6" name="Low Hours"/>
    <tableColumn id="7" name="Base Hours"/>
    <tableColumn id="8" name="High Hours"/>
    <tableColumn id="9" name="Risk"/>
    <tableColumn id="10" name="Notes"/>
    <tableColumn id="11" name="Base Cost USD"/>
    <tableColumn id="12" name="Base Cost INR"/>
  </tableColumns>
  <tableStyleInfo name="TableStyleMedium2" showRowStripes="1"/>
</table>
</file>

<file path=xl/tables/table4.xml><?xml version="1.0" encoding="utf-8"?>
<table xmlns="http://schemas.openxmlformats.org/spreadsheetml/2006/main" id="4" name="HardwareTable" displayName="HardwareTable" ref="A1:G12" headerRowCount="1">
  <autoFilter ref="A1:G12"/>
  <tableColumns count="7">
    <tableColumn id="1" name="Category"/>
    <tableColumn id="2" name="Item"/>
    <tableColumn id="3" name="Qty"/>
    <tableColumn id="4" name="Unit Cost USD"/>
    <tableColumn id="5" name="Estimated Cost USD"/>
    <tableColumn id="6" name="Estimated INR Ref"/>
    <tableColumn id="7" name="Notes"/>
  </tableColumns>
  <tableStyleInfo name="TableStyleMedium2" showRowStripes="1"/>
</table>
</file>

<file path=xl/tables/table5.xml><?xml version="1.0" encoding="utf-8"?>
<table xmlns="http://schemas.openxmlformats.org/spreadsheetml/2006/main" id="5" name="PhasingTable" displayName="PhasingTable" ref="A1:H6" headerRowCount="1">
  <autoFilter ref="A1:H6"/>
  <tableColumns count="8">
    <tableColumn id="1" name="Phase"/>
    <tableColumn id="2" name="BRD Priority"/>
    <tableColumn id="3" name="Workstreams"/>
    <tableColumn id="4" name="Target Outcome"/>
    <tableColumn id="5" name="Base Hours"/>
    <tableColumn id="6" name="Cost USD"/>
    <tableColumn id="7" name="Cost INR Ref"/>
    <tableColumn id="8" name="Notes"/>
  </tableColumns>
  <tableStyleInfo name="TableStyleMedium2" showRowStripes="1"/>
</table>
</file>

<file path=xl/tables/table6.xml><?xml version="1.0" encoding="utf-8"?>
<table xmlns="http://schemas.openxmlformats.org/spreadsheetml/2006/main" id="6" name="RiskTable" displayName="RiskTable" ref="A1:G11" headerRowCount="1">
  <autoFilter ref="A1:G11"/>
  <tableColumns count="7">
    <tableColumn id="1" name="#"/>
    <tableColumn id="2" name="Risk"/>
    <tableColumn id="3" name="Impact"/>
    <tableColumn id="4" name="Probability"/>
    <tableColumn id="5" name="Description"/>
    <tableColumn id="6" name="Mitigation"/>
    <tableColumn id="7" name="Status"/>
  </tableColumns>
  <tableStyleInfo name="TableStyleMedium2" showRowStripes="1"/>
</table>
</file>

<file path=xl/tables/table7.xml><?xml version="1.0" encoding="utf-8"?>
<table xmlns="http://schemas.openxmlformats.org/spreadsheetml/2006/main" id="7" name="ClarificationTable" displayName="ClarificationTable" ref="A1:B21" headerRowCount="1">
  <autoFilter ref="A1:B21"/>
  <tableColumns count="2">
    <tableColumn id="1" name="Area"/>
    <tableColumn id="2" name="Question / Input Required"/>
  </tableColumns>
  <tableStyleInfo name="TableStyleMedium2" showRowStripes="1"/>
</table>
</file>

<file path=xl/tables/table8.xml><?xml version="1.0" encoding="utf-8"?>
<table xmlns="http://schemas.openxmlformats.org/spreadsheetml/2006/main" id="8" name="TraceabilityTable" displayName="TraceabilityTable" ref="A1:E38" headerRowCount="1">
  <autoFilter ref="A1:E38"/>
  <tableColumns count="5">
    <tableColumn id="1" name="Requirement ID"/>
    <tableColumn id="2" name="Area"/>
    <tableColumn id="3" name="Requirement Summary"/>
    <tableColumn id="4" name="Fit Category"/>
    <tableColumn id="5" name="Cost Treatment"/>
  </tableColumns>
  <tableStyleInfo name="TableStyleMedium2" showRowStripes="1"/>
</table>
</file>

<file path=xl/tables/table9.xml><?xml version="1.0" encoding="utf-8"?>
<table xmlns="http://schemas.openxmlformats.org/spreadsheetml/2006/main" id="9" name="SourcesTable" displayName="SourcesTable" ref="A1:D4" headerRowCount="1">
  <autoFilter ref="A1:D4"/>
  <tableColumns count="4">
    <tableColumn id="1" name="Source"/>
    <tableColumn id="2" name="URL / File"/>
    <tableColumn id="3" name="Used For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110" customWidth="1" min="4" max="4"/>
  </cols>
  <sheetData>
    <row r="1" ht="24" customHeight="1">
      <c r="A1" s="1" t="inlineStr">
        <is>
          <t>Fox Cities Racquet Club - BRD Review &amp; India-Based Odoo Cost Estimate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n"/>
      <c r="B2" s="3" t="n"/>
      <c r="C2" s="3" t="n"/>
      <c r="D2" s="3" t="n"/>
      <c r="E2" s="3" t="n"/>
      <c r="F2" s="3" t="n"/>
      <c r="G2" s="3" t="n"/>
    </row>
    <row r="3" ht="36" customHeight="1">
      <c r="A3" s="4" t="inlineStr">
        <is>
          <t>Item</t>
        </is>
      </c>
      <c r="B3" s="4" t="inlineStr">
        <is>
          <t>Value</t>
        </is>
      </c>
      <c r="C3" s="3" t="n"/>
      <c r="D3" s="5" t="inlineStr">
        <is>
          <t>Executive Review</t>
        </is>
      </c>
      <c r="E3" s="3" t="n"/>
      <c r="F3" s="3" t="n"/>
      <c r="G3" s="3" t="n"/>
    </row>
    <row r="4" ht="36" customHeight="1">
      <c r="A4" s="6" t="inlineStr">
        <is>
          <t>Prepared from</t>
        </is>
      </c>
      <c r="B4" s="6" t="inlineStr">
        <is>
          <t>Fox Cities Racquet Club BRD PDF v1.0</t>
        </is>
      </c>
      <c r="C4" s="3" t="n"/>
      <c r="D4" s="3" t="inlineStr">
        <is>
          <t>- BRD is broad and valid for an integrated Odoo ERP, but court scheduling is the main custom-risk area.</t>
        </is>
      </c>
      <c r="E4" s="3" t="n"/>
      <c r="F4" s="3" t="n"/>
      <c r="G4" s="3" t="n"/>
    </row>
    <row r="5" ht="36" customHeight="1">
      <c r="A5" s="6" t="inlineStr">
        <is>
          <t>Prepared date</t>
        </is>
      </c>
      <c r="B5" s="6" t="inlineStr">
        <is>
          <t>2026-07-17</t>
        </is>
      </c>
      <c r="C5" s="3" t="n"/>
      <c r="D5" s="3" t="inlineStr">
        <is>
          <t>- Odoo can cover CRM, contacts, subscriptions, POS, inventory, purchase, accounting, documents, approvals, reporting and HR with configuration plus targeted custom work.</t>
        </is>
      </c>
      <c r="E5" s="3" t="n"/>
      <c r="F5" s="3" t="n"/>
      <c r="G5" s="3" t="n"/>
    </row>
    <row r="6" ht="36" customHeight="1">
      <c r="A6" s="6" t="inlineStr">
        <is>
          <t>Delivery model</t>
        </is>
      </c>
      <c r="B6" s="6" t="inlineStr">
        <is>
          <t>India offshore/remote implementation</t>
        </is>
      </c>
      <c r="C6" s="3" t="n"/>
      <c r="D6" s="3" t="inlineStr">
        <is>
          <t>- Membership rules, family/household accounts, court booking windows, league schedules, waitlists, and utilization reporting require deeper fit-gap workshops.</t>
        </is>
      </c>
      <c r="E6" s="3" t="n"/>
      <c r="F6" s="3" t="n"/>
      <c r="G6" s="3" t="n"/>
    </row>
    <row r="7" ht="36" customHeight="1">
      <c r="A7" s="6" t="inlineStr">
        <is>
          <t>Commercial currency</t>
        </is>
      </c>
      <c r="B7" s="6" t="inlineStr">
        <is>
          <t>USD quote with INR reference</t>
        </is>
      </c>
      <c r="C7" s="3" t="n"/>
      <c r="D7" s="3" t="inlineStr">
        <is>
          <t>- US payroll, payment terminals, Sage 50 migration, and online member booking should be confirmed before final quote.</t>
        </is>
      </c>
      <c r="E7" s="3" t="n"/>
      <c r="F7" s="3" t="n"/>
      <c r="G7" s="3" t="n"/>
    </row>
    <row r="8" ht="36" customHeight="1">
      <c r="A8" s="6" t="inlineStr">
        <is>
          <t>FX assumption</t>
        </is>
      </c>
      <c r="B8" s="6" t="inlineStr">
        <is>
          <t>1 USD = INR 83.50 (editable)</t>
        </is>
      </c>
      <c r="C8" s="3" t="n"/>
      <c r="D8" s="3" t="inlineStr">
        <is>
          <t>- India-based delivery materially reduces implementation cost compared with a US-rate estimate; license cost remains vendor/subscription driven.</t>
        </is>
      </c>
      <c r="E8" s="3" t="n"/>
      <c r="F8" s="3" t="n"/>
      <c r="G8" s="3" t="n"/>
    </row>
    <row r="9" ht="36" customHeight="1">
      <c r="A9" s="6" t="inlineStr">
        <is>
          <t>Recommended Odoo plan</t>
        </is>
      </c>
      <c r="B9" s="6" t="inlineStr">
        <is>
          <t>Custom, annual billing</t>
        </is>
      </c>
      <c r="C9" s="3" t="n"/>
      <c r="D9" s="3" t="n"/>
      <c r="E9" s="3" t="n"/>
      <c r="F9" s="3" t="n"/>
      <c r="G9" s="3" t="n"/>
    </row>
    <row r="10" ht="36" customHeight="1">
      <c r="A10" s="6" t="inlineStr">
        <is>
          <t>Planning paid users</t>
        </is>
      </c>
      <c r="B10" s="6" t="n">
        <v>12</v>
      </c>
      <c r="C10" s="3" t="n"/>
      <c r="D10" s="3" t="n"/>
      <c r="E10" s="3" t="n"/>
      <c r="F10" s="3" t="n"/>
      <c r="G10" s="3" t="n"/>
    </row>
    <row r="11" ht="36" customHeight="1">
      <c r="A11" s="3" t="n"/>
      <c r="B11" s="3" t="n"/>
      <c r="C11" s="3" t="n"/>
      <c r="D11" s="3" t="n"/>
      <c r="E11" s="3" t="n"/>
      <c r="F11" s="3" t="n"/>
      <c r="G11" s="3" t="n"/>
    </row>
    <row r="12" ht="36" customHeight="1">
      <c r="A12" s="5" t="inlineStr">
        <is>
          <t>Cost Summary - India Delivery</t>
        </is>
      </c>
      <c r="B12" s="3" t="n"/>
      <c r="C12" s="3" t="n"/>
      <c r="D12" s="3" t="n"/>
      <c r="E12" s="3" t="n"/>
      <c r="F12" s="3" t="n"/>
      <c r="G12" s="3" t="n"/>
    </row>
    <row r="13" ht="36" customHeight="1">
      <c r="A13" s="4" t="inlineStr">
        <is>
          <t>Line Item</t>
        </is>
      </c>
      <c r="B13" s="4" t="inlineStr">
        <is>
          <t>USD</t>
        </is>
      </c>
      <c r="C13" s="4" t="inlineStr">
        <is>
          <t>INR Reference</t>
        </is>
      </c>
      <c r="D13" s="3" t="n"/>
      <c r="E13" s="3" t="n"/>
      <c r="F13" s="3" t="n"/>
      <c r="G13" s="3" t="n"/>
    </row>
    <row r="14" ht="36" customHeight="1">
      <c r="A14" s="7" t="inlineStr">
        <is>
          <t>Implementation subtotal</t>
        </is>
      </c>
      <c r="B14" s="8">
        <f>'Implementation Cost'!K22</f>
        <v/>
      </c>
      <c r="C14" s="9">
        <f>B13*Assumptions!$B$5</f>
        <v/>
      </c>
      <c r="D14" s="3" t="n"/>
      <c r="E14" s="3" t="n"/>
      <c r="F14" s="3" t="n"/>
      <c r="G14" s="3" t="n"/>
    </row>
    <row r="15" ht="36" customHeight="1">
      <c r="A15" s="6" t="inlineStr">
        <is>
          <t>Implementation contingency</t>
        </is>
      </c>
      <c r="B15" s="10">
        <f>'Implementation Cost'!K23</f>
        <v/>
      </c>
      <c r="C15" s="11">
        <f>B14*Assumptions!$B$5</f>
        <v/>
      </c>
      <c r="D15" s="3" t="n"/>
      <c r="E15" s="3" t="n"/>
      <c r="F15" s="3" t="n"/>
      <c r="G15" s="3" t="n"/>
    </row>
    <row r="16" ht="36" customHeight="1">
      <c r="A16" s="7" t="inlineStr">
        <is>
          <t>Implementation total</t>
        </is>
      </c>
      <c r="B16" s="8">
        <f>'Implementation Cost'!K24</f>
        <v/>
      </c>
      <c r="C16" s="9">
        <f>B15*Assumptions!$B$5</f>
        <v/>
      </c>
      <c r="D16" s="3" t="n"/>
      <c r="E16" s="3" t="n"/>
      <c r="F16" s="3" t="n"/>
      <c r="G16" s="3" t="n"/>
    </row>
    <row r="17" ht="36" customHeight="1">
      <c r="A17" s="6" t="inlineStr">
        <is>
          <t>Recommended Odoo license, year 1</t>
        </is>
      </c>
      <c r="B17" s="10">
        <f>'Odoo License Cost'!E13</f>
        <v/>
      </c>
      <c r="C17" s="11">
        <f>B16*Assumptions!$B$5</f>
        <v/>
      </c>
      <c r="D17" s="3" t="n"/>
      <c r="E17" s="3" t="n"/>
      <c r="F17" s="3" t="n"/>
      <c r="G17" s="3" t="n"/>
    </row>
    <row r="18" ht="36" customHeight="1">
      <c r="A18" s="6" t="inlineStr">
        <is>
          <t>Hardware/third-party placeholder</t>
        </is>
      </c>
      <c r="B18" s="10">
        <f>'Hardware &amp; Third Party'!E16</f>
        <v/>
      </c>
      <c r="C18" s="11">
        <f>B17*Assumptions!$B$5</f>
        <v/>
      </c>
      <c r="D18" s="3" t="n"/>
      <c r="E18" s="3" t="n"/>
      <c r="F18" s="3" t="n"/>
      <c r="G18" s="3" t="n"/>
    </row>
    <row r="19" ht="36" customHeight="1">
      <c r="A19" s="7" t="inlineStr">
        <is>
          <t>Estimated first-year total</t>
        </is>
      </c>
      <c r="B19" s="8">
        <f>B16+B17+B18</f>
        <v/>
      </c>
      <c r="C19" s="9">
        <f>C16+C17+C18</f>
        <v/>
      </c>
      <c r="D19" s="3" t="n"/>
      <c r="E19" s="3" t="n"/>
      <c r="F19" s="3" t="n"/>
      <c r="G19" s="3" t="n"/>
    </row>
    <row r="20" ht="36" customHeight="1">
      <c r="A20" s="6" t="inlineStr">
        <is>
          <t>Recurring annual license only</t>
        </is>
      </c>
      <c r="B20" s="10">
        <f>'Odoo License Cost'!E13</f>
        <v/>
      </c>
      <c r="C20" s="11">
        <f>B19*Assumptions!$B$5</f>
        <v/>
      </c>
      <c r="D20" s="3" t="n"/>
      <c r="E20" s="3" t="n"/>
      <c r="F20" s="3" t="n"/>
      <c r="G2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60" customWidth="1" min="3" max="3"/>
  </cols>
  <sheetData>
    <row r="1" ht="24" customHeight="1">
      <c r="A1" s="4" t="inlineStr">
        <is>
          <t>Area</t>
        </is>
      </c>
      <c r="B1" s="4" t="inlineStr">
        <is>
          <t>Review Finding</t>
        </is>
      </c>
      <c r="C1" s="4" t="inlineStr">
        <is>
          <t>Action / Recommendation</t>
        </is>
      </c>
    </row>
    <row r="2" ht="36" customHeight="1">
      <c r="A2" s="6" t="inlineStr">
        <is>
          <t>Overall</t>
        </is>
      </c>
      <c r="B2" s="6" t="inlineStr">
        <is>
          <t>Strong BRD with clear business objectives, KPIs, current-state challenges, scope, roles, functional requirements, non-functional requirements, migration and acceptance criteria.</t>
        </is>
      </c>
      <c r="C2" s="6" t="inlineStr">
        <is>
          <t>Use as phase-0 scope baseline, then conduct fit-gap workshops.</t>
        </is>
      </c>
    </row>
    <row r="3" ht="36" customHeight="1">
      <c r="A3" s="6" t="inlineStr">
        <is>
          <t>Scope</t>
        </is>
      </c>
      <c r="B3" s="6" t="inlineStr">
        <is>
          <t>In scope includes CRM, memberships, court scheduling, programs, POS, inventory, purchasing, accounting, payroll, reporting, documents and communications.</t>
        </is>
      </c>
      <c r="C3" s="6" t="inlineStr">
        <is>
          <t>Treat as multi-phase ERP implementation; avoid one-shot go-live.</t>
        </is>
      </c>
    </row>
    <row r="4" ht="36" customHeight="1">
      <c r="A4" s="6" t="inlineStr">
        <is>
          <t>Configuration-first principle</t>
        </is>
      </c>
      <c r="B4" s="6" t="inlineStr">
        <is>
          <t>BRD explicitly prefers standard Odoo configuration before customization.</t>
        </is>
      </c>
      <c r="C4" s="6" t="inlineStr">
        <is>
          <t>Use Odoo standard apps first; document every custom gap with business justification.</t>
        </is>
      </c>
    </row>
    <row r="5" ht="36" customHeight="1">
      <c r="A5" s="6" t="inlineStr">
        <is>
          <t>Largest functional gap</t>
        </is>
      </c>
      <c r="B5" s="6" t="inlineStr">
        <is>
          <t>Court scheduling/reservations with double-booking prevention, booking privileges, waitlists, instructor schedules and utilization analytics.</t>
        </is>
      </c>
      <c r="C5" s="6" t="inlineStr">
        <is>
          <t>Prototype early and confirm whether Appointments/Planning plus custom module is acceptable.</t>
        </is>
      </c>
    </row>
    <row r="6" ht="36" customHeight="1">
      <c r="A6" s="6" t="inlineStr">
        <is>
          <t>Financial complexity</t>
        </is>
      </c>
      <c r="B6" s="6" t="inlineStr">
        <is>
          <t>Sage 50 migration, opening balances, AR/AP, inventory valuation, bank reconciliation and month-end close are critical.</t>
        </is>
      </c>
      <c r="C6" s="6" t="inlineStr">
        <is>
          <t>Assign dedicated accounting SME and perform mock financial reconciliation.</t>
        </is>
      </c>
    </row>
    <row r="7" ht="36" customHeight="1">
      <c r="A7" s="6" t="inlineStr">
        <is>
          <t>Payroll complexity</t>
        </is>
      </c>
      <c r="B7" s="6" t="inlineStr">
        <is>
          <t>BRD requires payroll calculations, leave balances and GL posting.</t>
        </is>
      </c>
      <c r="C7" s="6" t="inlineStr">
        <is>
          <t>Confirm US payroll compliance/provider strategy before final implementation scope.</t>
        </is>
      </c>
    </row>
    <row r="8" ht="36" customHeight="1">
      <c r="A8" s="6" t="inlineStr">
        <is>
          <t>Data migration</t>
        </is>
      </c>
      <c r="B8" s="6" t="inlineStr">
        <is>
          <t>Customer, household, vendor, inventory, membership, AR/AP, GL and employee data migration are required.</t>
        </is>
      </c>
      <c r="C8" s="6" t="inlineStr">
        <is>
          <t>Request sample exports immediately; define cleansing ownership.</t>
        </is>
      </c>
    </row>
    <row r="9" ht="36" customHeight="1">
      <c r="A9" s="6" t="inlineStr">
        <is>
          <t>Acceptance criteria</t>
        </is>
      </c>
      <c r="B9" s="6" t="inlineStr">
        <is>
          <t>BRD includes UAT, financial reconciliation, scheduling validation, POS testing and 30-day stabilization.</t>
        </is>
      </c>
      <c r="C9" s="6" t="inlineStr">
        <is>
          <t>Build formal UAT scripts and sign-off gates into project 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58" customWidth="1" min="4" max="4"/>
    <col width="16" customWidth="1" min="5" max="5"/>
    <col width="62" customWidth="1" min="6" max="6"/>
  </cols>
  <sheetData>
    <row r="1" ht="24" customHeight="1">
      <c r="A1" s="4" t="inlineStr">
        <is>
          <t>Workstream</t>
        </is>
      </c>
      <c r="B1" s="4" t="inlineStr">
        <is>
          <t>Likely Odoo Apps</t>
        </is>
      </c>
      <c r="C1" s="4" t="inlineStr">
        <is>
          <t>Fit Level</t>
        </is>
      </c>
      <c r="D1" s="4" t="inlineStr">
        <is>
          <t>Key BRD Needs</t>
        </is>
      </c>
      <c r="E1" s="4" t="inlineStr">
        <is>
          <t>Complexity</t>
        </is>
      </c>
      <c r="F1" s="4" t="inlineStr">
        <is>
          <t>India Delivery Recommendation</t>
        </is>
      </c>
    </row>
    <row r="2" ht="36" customHeight="1">
      <c r="A2" s="6" t="inlineStr">
        <is>
          <t>CRM &amp; Customer Master</t>
        </is>
      </c>
      <c r="B2" s="6" t="inlineStr">
        <is>
          <t>Contacts, CRM, Documents</t>
        </is>
      </c>
      <c r="C2" s="6" t="inlineStr">
        <is>
          <t>Partial configuration</t>
        </is>
      </c>
      <c r="D2" s="6" t="inlineStr">
        <is>
          <t>Duplicate detection, family/household links, customer lifetime history, document attachment rules</t>
        </is>
      </c>
      <c r="E2" s="6" t="inlineStr">
        <is>
          <t>Medium</t>
        </is>
      </c>
      <c r="F2" s="6" t="inlineStr">
        <is>
          <t>Configure contacts/customer hierarchy; add custom fields/views for family/household and membership context.</t>
        </is>
      </c>
    </row>
    <row r="3" ht="36" customHeight="1">
      <c r="A3" s="6" t="inlineStr">
        <is>
          <t>Membership Management</t>
        </is>
      </c>
      <c r="B3" s="6" t="inlineStr">
        <is>
          <t>Subscriptions, Sales, Invoicing, Portal</t>
        </is>
      </c>
      <c r="C3" s="6" t="inlineStr">
        <is>
          <t>Partial/custom</t>
        </is>
      </c>
      <c r="D3" s="6" t="inlineStr">
        <is>
          <t>Membership types, privileges, renewals, guest rules, automatic billing, member statements</t>
        </is>
      </c>
      <c r="E3" s="6" t="inlineStr">
        <is>
          <t>High</t>
        </is>
      </c>
      <c r="F3" s="6" t="inlineStr">
        <is>
          <t>Use subscriptions for recurring billing; customize privileges and reservation rules.</t>
        </is>
      </c>
    </row>
    <row r="4" ht="36" customHeight="1">
      <c r="A4" s="6" t="inlineStr">
        <is>
          <t>Court Scheduling</t>
        </is>
      </c>
      <c r="B4" s="6" t="inlineStr">
        <is>
          <t>Appointments, Planning, Calendar, Portal</t>
        </is>
      </c>
      <c r="C4" s="6" t="inlineStr">
        <is>
          <t>Custom-heavy</t>
        </is>
      </c>
      <c r="D4" s="6" t="inlineStr">
        <is>
          <t>Court resources, conflict prevention, recurring reservations, waitlist, maintenance blocks, member booking windows</t>
        </is>
      </c>
      <c r="E4" s="6" t="inlineStr">
        <is>
          <t>Very High</t>
        </is>
      </c>
      <c r="F4" s="6" t="inlineStr">
        <is>
          <t>Build prototype as first high-risk sprint.</t>
        </is>
      </c>
    </row>
    <row r="5" ht="36" customHeight="1">
      <c r="A5" s="6" t="inlineStr">
        <is>
          <t>Programs / Lessons / Leagues</t>
        </is>
      </c>
      <c r="B5" s="6" t="inlineStr">
        <is>
          <t>Planning, Events, Sales, Project</t>
        </is>
      </c>
      <c r="C5" s="6" t="inlineStr">
        <is>
          <t>Partial/custom</t>
        </is>
      </c>
      <c r="D5" s="6" t="inlineStr">
        <is>
          <t>Private/group lessons, clinics, league scheduling, attendance and instructor assignments</t>
        </is>
      </c>
      <c r="E5" s="6" t="inlineStr">
        <is>
          <t>High</t>
        </is>
      </c>
      <c r="F5" s="6" t="inlineStr">
        <is>
          <t>Define program templates and scheduling rules in fit-gap.</t>
        </is>
      </c>
    </row>
    <row r="6" ht="36" customHeight="1">
      <c r="A6" s="6" t="inlineStr">
        <is>
          <t>Point of Sale</t>
        </is>
      </c>
      <c r="B6" s="6" t="inlineStr">
        <is>
          <t>POS, Barcode, Sales, Payments</t>
        </is>
      </c>
      <c r="C6" s="6" t="inlineStr">
        <is>
          <t>Mostly standard</t>
        </is>
      </c>
      <c r="D6" s="6" t="inlineStr">
        <is>
          <t>Barcode scanning, member pricing, discounts, returns, gift cards, payment processing</t>
        </is>
      </c>
      <c r="E6" s="6" t="inlineStr">
        <is>
          <t>Medium</t>
        </is>
      </c>
      <c r="F6" s="6" t="inlineStr">
        <is>
          <t>Confirm hardware and processor compatibility.</t>
        </is>
      </c>
    </row>
    <row r="7" ht="36" customHeight="1">
      <c r="A7" s="6" t="inlineStr">
        <is>
          <t>Inventory &amp; Purchasing</t>
        </is>
      </c>
      <c r="B7" s="6" t="inlineStr">
        <is>
          <t>Inventory, Purchase, Barcode, Accounting</t>
        </is>
      </c>
      <c r="C7" s="6" t="inlineStr">
        <is>
          <t>Mostly standard</t>
        </is>
      </c>
      <c r="D7" s="6" t="inlineStr">
        <is>
          <t>Receiving, adjustments, valuation, reorder rules, PO/vendor bill matching</t>
        </is>
      </c>
      <c r="E7" s="6" t="inlineStr">
        <is>
          <t>Medium</t>
        </is>
      </c>
      <c r="F7" s="6" t="inlineStr">
        <is>
          <t>Configure product categories, stock locations and valuation method.</t>
        </is>
      </c>
    </row>
    <row r="8" ht="36" customHeight="1">
      <c r="A8" s="6" t="inlineStr">
        <is>
          <t>Accounting</t>
        </is>
      </c>
      <c r="B8" s="6" t="inlineStr">
        <is>
          <t>Accounting, Invoicing, Approvals</t>
        </is>
      </c>
      <c r="C8" s="6" t="inlineStr">
        <is>
          <t>Mostly standard</t>
        </is>
      </c>
      <c r="D8" s="6" t="inlineStr">
        <is>
          <t>AR/AP, GL, bank reconciliation, reminders, approvals, statements</t>
        </is>
      </c>
      <c r="E8" s="6" t="inlineStr">
        <is>
          <t>Medium</t>
        </is>
      </c>
      <c r="F8" s="6" t="inlineStr">
        <is>
          <t>Map Sage 50 chart of accounts and closing process.</t>
        </is>
      </c>
    </row>
    <row r="9" ht="36" customHeight="1">
      <c r="A9" s="6" t="inlineStr">
        <is>
          <t>Payroll &amp; HR</t>
        </is>
      </c>
      <c r="B9" s="6" t="inlineStr">
        <is>
          <t>Employees, Time Off, Payroll/Provider</t>
        </is>
      </c>
      <c r="C9" s="6" t="inlineStr">
        <is>
          <t>Partial/custom/provider</t>
        </is>
      </c>
      <c r="D9" s="6" t="inlineStr">
        <is>
          <t>Payroll calculation, leave balances, GL posting, approvals</t>
        </is>
      </c>
      <c r="E9" s="6" t="inlineStr">
        <is>
          <t>High</t>
        </is>
      </c>
      <c r="F9" s="6" t="inlineStr">
        <is>
          <t>Confirm US payroll compliance and provider/API.</t>
        </is>
      </c>
    </row>
    <row r="10" ht="36" customHeight="1">
      <c r="A10" s="6" t="inlineStr">
        <is>
          <t>Reporting</t>
        </is>
      </c>
      <c r="B10" s="6" t="inlineStr">
        <is>
          <t>Spreadsheet BI, Dashboards, Accounting Reports</t>
        </is>
      </c>
      <c r="C10" s="6" t="inlineStr">
        <is>
          <t>Partial configuration</t>
        </is>
      </c>
      <c r="D10" s="6" t="inlineStr">
        <is>
          <t>Executive dashboards, court utilization, memberships, instructor productivity, inventory, financials</t>
        </is>
      </c>
      <c r="E10" s="6" t="inlineStr">
        <is>
          <t>Medium</t>
        </is>
      </c>
      <c r="F10" s="6" t="inlineStr">
        <is>
          <t>Define KPI formulas and dashboard mockups.</t>
        </is>
      </c>
    </row>
    <row r="11" ht="36" customHeight="1">
      <c r="A11" s="6" t="inlineStr">
        <is>
          <t>Documents &amp; Waivers</t>
        </is>
      </c>
      <c r="B11" s="6" t="inlineStr">
        <is>
          <t>Documents, Sign, Contacts</t>
        </is>
      </c>
      <c r="C11" s="6" t="inlineStr">
        <is>
          <t>Mostly standard</t>
        </is>
      </c>
      <c r="D11" s="6" t="inlineStr">
        <is>
          <t>Waivers, contracts, correspondence attached to customer records</t>
        </is>
      </c>
      <c r="E11" s="6" t="inlineStr">
        <is>
          <t>Medium</t>
        </is>
      </c>
      <c r="F11" s="6" t="inlineStr">
        <is>
          <t>Use document workspaces and Sign templates where possible.</t>
        </is>
      </c>
    </row>
    <row r="12" ht="36" customHeight="1">
      <c r="A12" s="6" t="inlineStr">
        <is>
          <t>Customer Portal / Online Booking</t>
        </is>
      </c>
      <c r="B12" s="6" t="inlineStr">
        <is>
          <t>Portal, Website, Appointments</t>
        </is>
      </c>
      <c r="C12" s="6" t="inlineStr">
        <is>
          <t>Partial/custom</t>
        </is>
      </c>
      <c r="D12" s="6" t="inlineStr">
        <is>
          <t>Real-time account access, optional online reservations, notifications</t>
        </is>
      </c>
      <c r="E12" s="6" t="inlineStr">
        <is>
          <t>High</t>
        </is>
      </c>
      <c r="F12" s="6" t="inlineStr">
        <is>
          <t>Confirm if online booking is phase 1 or later.</t>
        </is>
      </c>
    </row>
    <row r="13" ht="36" customHeight="1">
      <c r="A13" s="6" t="inlineStr">
        <is>
          <t>Security &amp; Approvals</t>
        </is>
      </c>
      <c r="B13" s="6" t="inlineStr">
        <is>
          <t>Users, Groups, Approvals</t>
        </is>
      </c>
      <c r="C13" s="6" t="inlineStr">
        <is>
          <t>Configuration</t>
        </is>
      </c>
      <c r="D13" s="6" t="inlineStr">
        <is>
          <t>General Manager, Pro Shop/Accounting, Front Desk/POS, least privilege and approvals</t>
        </is>
      </c>
      <c r="E13" s="6" t="inlineStr">
        <is>
          <t>Medium</t>
        </is>
      </c>
      <c r="F13" s="6" t="inlineStr">
        <is>
          <t>Create role matrix and test with users.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5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44" customWidth="1" min="10" max="10"/>
    <col width="16" customWidth="1" min="11" max="11"/>
    <col width="18" customWidth="1" min="12" max="12"/>
    <col width="20" customWidth="1" min="14" max="14"/>
  </cols>
  <sheetData>
    <row r="1" ht="24" customHeight="1">
      <c r="A1" s="4" t="inlineStr">
        <is>
          <t>WBS</t>
        </is>
      </c>
      <c r="B1" s="4" t="inlineStr">
        <is>
          <t>Workstream</t>
        </is>
      </c>
      <c r="C1" s="4" t="inlineStr">
        <is>
          <t>BRD Coverage</t>
        </is>
      </c>
      <c r="D1" s="4" t="inlineStr">
        <is>
          <t>Scope Included</t>
        </is>
      </c>
      <c r="E1" s="4" t="inlineStr">
        <is>
          <t>Odoo Apps / Components</t>
        </is>
      </c>
      <c r="F1" s="4" t="inlineStr">
        <is>
          <t>Low Hours</t>
        </is>
      </c>
      <c r="G1" s="4" t="inlineStr">
        <is>
          <t>Base Hours</t>
        </is>
      </c>
      <c r="H1" s="4" t="inlineStr">
        <is>
          <t>High Hours</t>
        </is>
      </c>
      <c r="I1" s="4" t="inlineStr">
        <is>
          <t>Risk</t>
        </is>
      </c>
      <c r="J1" s="4" t="inlineStr">
        <is>
          <t>Notes</t>
        </is>
      </c>
      <c r="K1" s="4" t="inlineStr">
        <is>
          <t>Base Cost USD</t>
        </is>
      </c>
      <c r="L1" s="4" t="inlineStr">
        <is>
          <t>Base Cost INR</t>
        </is>
      </c>
    </row>
    <row r="2" ht="36" customHeight="1">
      <c r="A2" s="6" t="inlineStr">
        <is>
          <t>DISC</t>
        </is>
      </c>
      <c r="B2" s="6" t="inlineStr">
        <is>
          <t>Discovery, BRD validation &amp; solution blueprint</t>
        </is>
      </c>
      <c r="C2" s="6" t="inlineStr">
        <is>
          <t>All sections</t>
        </is>
      </c>
      <c r="D2" s="6" t="inlineStr">
        <is>
          <t>Process workshops, fit-gap, traceability, solution design, backlog and project plan</t>
        </is>
      </c>
      <c r="E2" s="6" t="inlineStr">
        <is>
          <t>Project, Knowledge</t>
        </is>
      </c>
      <c r="F2" s="12" t="n">
        <v>60</v>
      </c>
      <c r="G2" s="12" t="n">
        <v>90</v>
      </c>
      <c r="H2" s="12" t="n">
        <v>120</v>
      </c>
      <c r="I2" s="6" t="inlineStr">
        <is>
          <t>Medium</t>
        </is>
      </c>
      <c r="J2" s="6" t="inlineStr">
        <is>
          <t>India remote workshops; onsite travel excluded.</t>
        </is>
      </c>
      <c r="K2" s="13">
        <f>G2*Assumptions!$B$3</f>
        <v/>
      </c>
      <c r="L2" s="14">
        <f>K2*Assumptions!$B$5</f>
        <v/>
      </c>
    </row>
    <row r="3" ht="36" customHeight="1">
      <c r="A3" s="6" t="inlineStr">
        <is>
          <t>PM</t>
        </is>
      </c>
      <c r="B3" s="6" t="inlineStr">
        <is>
          <t>Project management &amp; governance</t>
        </is>
      </c>
      <c r="C3" s="6" t="inlineStr">
        <is>
          <t>All workstreams</t>
        </is>
      </c>
      <c r="D3" s="6" t="inlineStr">
        <is>
          <t>Status meetings, RAID, change control, steering reviews, budget/schedule management</t>
        </is>
      </c>
      <c r="E3" s="6" t="inlineStr">
        <is>
          <t>Project</t>
        </is>
      </c>
      <c r="F3" s="12" t="n">
        <v>55</v>
      </c>
      <c r="G3" s="12" t="n">
        <v>80</v>
      </c>
      <c r="H3" s="12" t="n">
        <v>110</v>
      </c>
      <c r="I3" s="6" t="inlineStr">
        <is>
          <t>Medium</t>
        </is>
      </c>
      <c r="J3" s="6" t="inlineStr">
        <is>
          <t>Remote governance.</t>
        </is>
      </c>
      <c r="K3" s="13">
        <f>G3*Assumptions!$B$3</f>
        <v/>
      </c>
      <c r="L3" s="14">
        <f>K3*Assumptions!$B$5</f>
        <v/>
      </c>
    </row>
    <row r="4" ht="36" customHeight="1">
      <c r="A4" s="6" t="inlineStr">
        <is>
          <t>BASE</t>
        </is>
      </c>
      <c r="B4" s="6" t="inlineStr">
        <is>
          <t>Base Odoo setup &amp; environment configuration</t>
        </is>
      </c>
      <c r="C4" s="6" t="inlineStr">
        <is>
          <t>NFR, Security, Maintainability</t>
        </is>
      </c>
      <c r="D4" s="6" t="inlineStr">
        <is>
          <t>Company setup, fiscal settings, users, email templates, system parameters, backup/cutover settings</t>
        </is>
      </c>
      <c r="E4" s="6" t="inlineStr">
        <is>
          <t>Settings, Discuss, Documents</t>
        </is>
      </c>
      <c r="F4" s="12" t="n">
        <v>35</v>
      </c>
      <c r="G4" s="12" t="n">
        <v>50</v>
      </c>
      <c r="H4" s="12" t="n">
        <v>70</v>
      </c>
      <c r="I4" s="6" t="inlineStr">
        <is>
          <t>Low</t>
        </is>
      </c>
      <c r="J4" s="6" t="inlineStr">
        <is>
          <t>Odoo.sh/on-prem hosting excluded unless selected.</t>
        </is>
      </c>
      <c r="K4" s="13">
        <f>G4*Assumptions!$B$3</f>
        <v/>
      </c>
      <c r="L4" s="14">
        <f>K4*Assumptions!$B$5</f>
        <v/>
      </c>
    </row>
    <row r="5" ht="36" customHeight="1">
      <c r="A5" s="6" t="inlineStr">
        <is>
          <t>CRM</t>
        </is>
      </c>
      <c r="B5" s="6" t="inlineStr">
        <is>
          <t>CRM, customer records &amp; family relationships</t>
        </is>
      </c>
      <c r="C5" s="6" t="inlineStr">
        <is>
          <t>BR-CRM-001 to BR-CRM-005</t>
        </is>
      </c>
      <c r="D5" s="6" t="inlineStr">
        <is>
          <t>Customer master, duplicate controls, family links, archive rules, history, communications, documents</t>
        </is>
      </c>
      <c r="E5" s="6" t="inlineStr">
        <is>
          <t>CRM, Contacts, Documents</t>
        </is>
      </c>
      <c r="F5" s="12" t="n">
        <v>95</v>
      </c>
      <c r="G5" s="12" t="n">
        <v>135</v>
      </c>
      <c r="H5" s="12" t="n">
        <v>180</v>
      </c>
      <c r="I5" s="6" t="inlineStr">
        <is>
          <t>High</t>
        </is>
      </c>
      <c r="J5" s="6" t="inlineStr">
        <is>
          <t>Family/household logic may require custom fields.</t>
        </is>
      </c>
      <c r="K5" s="13">
        <f>G5*Assumptions!$B$3</f>
        <v/>
      </c>
      <c r="L5" s="14">
        <f>K5*Assumptions!$B$5</f>
        <v/>
      </c>
    </row>
    <row r="6" ht="36" customHeight="1">
      <c r="A6" s="6" t="inlineStr">
        <is>
          <t>MEM</t>
        </is>
      </c>
      <c r="B6" s="6" t="inlineStr">
        <is>
          <t>Membership management &amp; recurring billing</t>
        </is>
      </c>
      <c r="C6" s="6" t="inlineStr">
        <is>
          <t>BR-CRM-006, Membership scope</t>
        </is>
      </c>
      <c r="D6" s="6" t="inlineStr">
        <is>
          <t>Membership types, privileges, annual/monthly billing, renewals, guest handling, balances, statements</t>
        </is>
      </c>
      <c r="E6" s="6" t="inlineStr">
        <is>
          <t>Subscriptions, Invoicing, Sales</t>
        </is>
      </c>
      <c r="F6" s="12" t="n">
        <v>90</v>
      </c>
      <c r="G6" s="12" t="n">
        <v>130</v>
      </c>
      <c r="H6" s="12" t="n">
        <v>175</v>
      </c>
      <c r="I6" s="6" t="inlineStr">
        <is>
          <t>High</t>
        </is>
      </c>
      <c r="J6" s="6" t="inlineStr">
        <is>
          <t>Use subscriptions; customize privilege logic.</t>
        </is>
      </c>
      <c r="K6" s="13">
        <f>G6*Assumptions!$B$3</f>
        <v/>
      </c>
      <c r="L6" s="14">
        <f>K6*Assumptions!$B$5</f>
        <v/>
      </c>
    </row>
    <row r="7" ht="36" customHeight="1">
      <c r="A7" s="6" t="inlineStr">
        <is>
          <t>COURT</t>
        </is>
      </c>
      <c r="B7" s="6" t="inlineStr">
        <is>
          <t>Court scheduling &amp; reservations</t>
        </is>
      </c>
      <c r="C7" s="6" t="inlineStr">
        <is>
          <t>BR-COURT-001 to BR-COURT-006</t>
        </is>
      </c>
      <c r="D7" s="6" t="inlineStr">
        <is>
          <t>Courts/resources, calendar, recurring bookings, booking windows, conflict prevention, maintenance blocks, waitlists</t>
        </is>
      </c>
      <c r="E7" s="6" t="inlineStr">
        <is>
          <t>Appointments, Planning, Calendar, Portal</t>
        </is>
      </c>
      <c r="F7" s="12" t="n">
        <v>170</v>
      </c>
      <c r="G7" s="12" t="n">
        <v>240</v>
      </c>
      <c r="H7" s="12" t="n">
        <v>330</v>
      </c>
      <c r="I7" s="6" t="inlineStr">
        <is>
          <t>High</t>
        </is>
      </c>
      <c r="J7" s="6" t="inlineStr">
        <is>
          <t>Largest custom-risk area.</t>
        </is>
      </c>
      <c r="K7" s="13">
        <f>G7*Assumptions!$B$3</f>
        <v/>
      </c>
      <c r="L7" s="14">
        <f>K7*Assumptions!$B$5</f>
        <v/>
      </c>
    </row>
    <row r="8" ht="36" customHeight="1">
      <c r="A8" s="6" t="inlineStr">
        <is>
          <t>PROG</t>
        </is>
      </c>
      <c r="B8" s="6" t="inlineStr">
        <is>
          <t>Programs, instruction, lessons, clinics &amp; leagues</t>
        </is>
      </c>
      <c r="C8" s="6" t="inlineStr">
        <is>
          <t>Programs and Instruction scope</t>
        </is>
      </c>
      <c r="D8" s="6" t="inlineStr">
        <is>
          <t>Private/group lessons, clinics, junior/adult programs, league administration, attendance, instructor assignment</t>
        </is>
      </c>
      <c r="E8" s="6" t="inlineStr">
        <is>
          <t>Planning, Events, Sales, Project</t>
        </is>
      </c>
      <c r="F8" s="12" t="n">
        <v>110</v>
      </c>
      <c r="G8" s="12" t="n">
        <v>155</v>
      </c>
      <c r="H8" s="12" t="n">
        <v>220</v>
      </c>
      <c r="I8" s="6" t="inlineStr">
        <is>
          <t>High</t>
        </is>
      </c>
      <c r="J8" s="6" t="inlineStr">
        <is>
          <t>League scheduling may need custom rules.</t>
        </is>
      </c>
      <c r="K8" s="13">
        <f>G8*Assumptions!$B$3</f>
        <v/>
      </c>
      <c r="L8" s="14">
        <f>K8*Assumptions!$B$5</f>
        <v/>
      </c>
    </row>
    <row r="9" ht="36" customHeight="1">
      <c r="A9" s="6" t="inlineStr">
        <is>
          <t>POS</t>
        </is>
      </c>
      <c r="B9" s="6" t="inlineStr">
        <is>
          <t>Point of Sale retail operations</t>
        </is>
      </c>
      <c r="C9" s="6" t="inlineStr">
        <is>
          <t>BR-POS-001 to BR-POS-006</t>
        </is>
      </c>
      <c r="D9" s="6" t="inlineStr">
        <is>
          <t>POS, barcode scanning, member pricing, discounts, gift cards, returns/exchanges, payment flow</t>
        </is>
      </c>
      <c r="E9" s="6" t="inlineStr">
        <is>
          <t>POS, Sales, Payments</t>
        </is>
      </c>
      <c r="F9" s="12" t="n">
        <v>75</v>
      </c>
      <c r="G9" s="12" t="n">
        <v>105</v>
      </c>
      <c r="H9" s="12" t="n">
        <v>145</v>
      </c>
      <c r="I9" s="6" t="inlineStr">
        <is>
          <t>Medium</t>
        </is>
      </c>
      <c r="J9" s="6" t="inlineStr">
        <is>
          <t>Payment terminal provider excluded.</t>
        </is>
      </c>
      <c r="K9" s="13">
        <f>G9*Assumptions!$B$3</f>
        <v/>
      </c>
      <c r="L9" s="14">
        <f>K9*Assumptions!$B$5</f>
        <v/>
      </c>
    </row>
    <row r="10" ht="36" customHeight="1">
      <c r="A10" s="6" t="inlineStr">
        <is>
          <t>INV</t>
        </is>
      </c>
      <c r="B10" s="6" t="inlineStr">
        <is>
          <t>Inventory &amp; purchasing</t>
        </is>
      </c>
      <c r="C10" s="6" t="inlineStr">
        <is>
          <t>BR-INV-001 to BR-INV-006</t>
        </is>
      </c>
      <c r="D10" s="6" t="inlineStr">
        <is>
          <t>Products, SKUs, stock locations, receiving, adjustments, valuation, reorder rules, POs, vendor bill match</t>
        </is>
      </c>
      <c r="E10" s="6" t="inlineStr">
        <is>
          <t>Inventory, Purchase, Barcode, Accounting</t>
        </is>
      </c>
      <c r="F10" s="12" t="n">
        <v>95</v>
      </c>
      <c r="G10" s="12" t="n">
        <v>135</v>
      </c>
      <c r="H10" s="12" t="n">
        <v>185</v>
      </c>
      <c r="I10" s="6" t="inlineStr">
        <is>
          <t>Medium</t>
        </is>
      </c>
      <c r="J10" s="6" t="inlineStr">
        <is>
          <t>Covers retail/teaching/office/maintenance inventory.</t>
        </is>
      </c>
      <c r="K10" s="13">
        <f>G10*Assumptions!$B$3</f>
        <v/>
      </c>
      <c r="L10" s="14">
        <f>K10*Assumptions!$B$5</f>
        <v/>
      </c>
    </row>
    <row r="11" ht="36" customHeight="1">
      <c r="A11" s="6" t="inlineStr">
        <is>
          <t>ACC</t>
        </is>
      </c>
      <c r="B11" s="6" t="inlineStr">
        <is>
          <t>Accounting, AR/AP, GL &amp; bank reconciliation</t>
        </is>
      </c>
      <c r="C11" s="6" t="inlineStr">
        <is>
          <t>BR-ACC-001 to BR-ACC-009</t>
        </is>
      </c>
      <c r="D11" s="6" t="inlineStr">
        <is>
          <t>CoA, AR/AP, customer invoices, payments, reminders, vendor bills, approvals, bank reconciliation, reports</t>
        </is>
      </c>
      <c r="E11" s="6" t="inlineStr">
        <is>
          <t>Accounting, Invoicing, Approvals</t>
        </is>
      </c>
      <c r="F11" s="12" t="n">
        <v>120</v>
      </c>
      <c r="G11" s="12" t="n">
        <v>165</v>
      </c>
      <c r="H11" s="12" t="n">
        <v>230</v>
      </c>
      <c r="I11" s="6" t="inlineStr">
        <is>
          <t>High</t>
        </is>
      </c>
      <c r="J11" s="6" t="inlineStr">
        <is>
          <t>Sage 50 reconciliation required.</t>
        </is>
      </c>
      <c r="K11" s="13">
        <f>G11*Assumptions!$B$3</f>
        <v/>
      </c>
      <c r="L11" s="14">
        <f>K11*Assumptions!$B$5</f>
        <v/>
      </c>
    </row>
    <row r="12" ht="36" customHeight="1">
      <c r="A12" s="6" t="inlineStr">
        <is>
          <t>PAY</t>
        </is>
      </c>
      <c r="B12" s="6" t="inlineStr">
        <is>
          <t>Payroll &amp; HR</t>
        </is>
      </c>
      <c r="C12" s="6" t="inlineStr">
        <is>
          <t>BR-ACC-010 to BR-ACC-013</t>
        </is>
      </c>
      <c r="D12" s="6" t="inlineStr">
        <is>
          <t>Employee records, payroll rules, leave balances, payroll approval, GL posting, payroll reporting</t>
        </is>
      </c>
      <c r="E12" s="6" t="inlineStr">
        <is>
          <t>Employees, Payroll, Time Off</t>
        </is>
      </c>
      <c r="F12" s="12" t="n">
        <v>70</v>
      </c>
      <c r="G12" s="12" t="n">
        <v>105</v>
      </c>
      <c r="H12" s="12" t="n">
        <v>155</v>
      </c>
      <c r="I12" s="6" t="inlineStr">
        <is>
          <t>High</t>
        </is>
      </c>
      <c r="J12" s="6" t="inlineStr">
        <is>
          <t>US payroll provider/compliance to confirm.</t>
        </is>
      </c>
      <c r="K12" s="13">
        <f>G12*Assumptions!$B$3</f>
        <v/>
      </c>
      <c r="L12" s="14">
        <f>K12*Assumptions!$B$5</f>
        <v/>
      </c>
    </row>
    <row r="13" ht="36" customHeight="1">
      <c r="A13" s="6" t="inlineStr">
        <is>
          <t>DOC</t>
        </is>
      </c>
      <c r="B13" s="6" t="inlineStr">
        <is>
          <t>Documents, waivers, contracts &amp; e-signature</t>
        </is>
      </c>
      <c r="C13" s="6" t="inlineStr">
        <is>
          <t>BR-CRM-005, Documentation</t>
        </is>
      </c>
      <c r="D13" s="6" t="inlineStr">
        <is>
          <t>Document folders, waivers/contracts, attachment rules, document history, e-sign workflow</t>
        </is>
      </c>
      <c r="E13" s="6" t="inlineStr">
        <is>
          <t>Documents, Sign, Contacts</t>
        </is>
      </c>
      <c r="F13" s="12" t="n">
        <v>45</v>
      </c>
      <c r="G13" s="12" t="n">
        <v>70</v>
      </c>
      <c r="H13" s="12" t="n">
        <v>100</v>
      </c>
      <c r="I13" s="6" t="inlineStr">
        <is>
          <t>Medium</t>
        </is>
      </c>
      <c r="J13" s="6" t="inlineStr">
        <is>
          <t>Use Odoo Sign where possible.</t>
        </is>
      </c>
      <c r="K13" s="13">
        <f>G13*Assumptions!$B$3</f>
        <v/>
      </c>
      <c r="L13" s="14">
        <f>K13*Assumptions!$B$5</f>
        <v/>
      </c>
    </row>
    <row r="14" ht="36" customHeight="1">
      <c r="A14" s="6" t="inlineStr">
        <is>
          <t>COMMS</t>
        </is>
      </c>
      <c r="B14" s="6" t="inlineStr">
        <is>
          <t>Customer portal &amp; communications</t>
        </is>
      </c>
      <c r="C14" s="6" t="inlineStr">
        <is>
          <t>Customer experience, Scheduling, Collections</t>
        </is>
      </c>
      <c r="D14" s="6" t="inlineStr">
        <is>
          <t>Portal access, emails, payment reminders, schedule notifications, optional online booking readiness</t>
        </is>
      </c>
      <c r="E14" s="6" t="inlineStr">
        <is>
          <t>Portal, Website, Email, SMS</t>
        </is>
      </c>
      <c r="F14" s="12" t="n">
        <v>65</v>
      </c>
      <c r="G14" s="12" t="n">
        <v>95</v>
      </c>
      <c r="H14" s="12" t="n">
        <v>145</v>
      </c>
      <c r="I14" s="6" t="inlineStr">
        <is>
          <t>High</t>
        </is>
      </c>
      <c r="J14" s="6" t="inlineStr">
        <is>
          <t>SMS credits excluded.</t>
        </is>
      </c>
      <c r="K14" s="13">
        <f>G14*Assumptions!$B$3</f>
        <v/>
      </c>
      <c r="L14" s="14">
        <f>K14*Assumptions!$B$5</f>
        <v/>
      </c>
    </row>
    <row r="15" ht="36" customHeight="1">
      <c r="A15" s="6" t="inlineStr">
        <is>
          <t>RPT</t>
        </is>
      </c>
      <c r="B15" s="6" t="inlineStr">
        <is>
          <t>Dashboards, reports &amp; analytics</t>
        </is>
      </c>
      <c r="C15" s="6" t="inlineStr">
        <is>
          <t>KPIs, Reporting, NFR-008</t>
        </is>
      </c>
      <c r="D15" s="6" t="inlineStr">
        <is>
          <t>Executive dashboards, court utilization, membership stats, instructor productivity, inventory and financial reports</t>
        </is>
      </c>
      <c r="E15" s="6" t="inlineStr">
        <is>
          <t>Spreadsheet BI, Dashboards</t>
        </is>
      </c>
      <c r="F15" s="12" t="n">
        <v>80</v>
      </c>
      <c r="G15" s="12" t="n">
        <v>120</v>
      </c>
      <c r="H15" s="12" t="n">
        <v>170</v>
      </c>
      <c r="I15" s="6" t="inlineStr">
        <is>
          <t>Medium</t>
        </is>
      </c>
      <c r="J15" s="6" t="inlineStr">
        <is>
          <t>Define KPI formulas.</t>
        </is>
      </c>
      <c r="K15" s="13">
        <f>G15*Assumptions!$B$3</f>
        <v/>
      </c>
      <c r="L15" s="14">
        <f>K15*Assumptions!$B$5</f>
        <v/>
      </c>
    </row>
    <row r="16" ht="36" customHeight="1">
      <c r="A16" s="6" t="inlineStr">
        <is>
          <t>MIG</t>
        </is>
      </c>
      <c r="B16" s="6" t="inlineStr">
        <is>
          <t>Data migration &amp; reconciliation</t>
        </is>
      </c>
      <c r="C16" s="6" t="inlineStr">
        <is>
          <t>Section 9 Data Migration</t>
        </is>
      </c>
      <c r="D16" s="6" t="inlineStr">
        <is>
          <t>Customers, vendors, inventory, memberships, AR/AP, opening GL, employees, cleansing, validation, reconciliation</t>
        </is>
      </c>
      <c r="E16" s="6" t="inlineStr">
        <is>
          <t>Import tools, Accounting, Inventory</t>
        </is>
      </c>
      <c r="F16" s="12" t="n">
        <v>130</v>
      </c>
      <c r="G16" s="12" t="n">
        <v>185</v>
      </c>
      <c r="H16" s="12" t="n">
        <v>270</v>
      </c>
      <c r="I16" s="6" t="inlineStr">
        <is>
          <t>High</t>
        </is>
      </c>
      <c r="J16" s="6" t="inlineStr">
        <is>
          <t>Depends on export quality.</t>
        </is>
      </c>
      <c r="K16" s="13">
        <f>G16*Assumptions!$B$3</f>
        <v/>
      </c>
      <c r="L16" s="14">
        <f>K16*Assumptions!$B$5</f>
        <v/>
      </c>
    </row>
    <row r="17" ht="36" customHeight="1">
      <c r="A17" s="6" t="inlineStr">
        <is>
          <t>SEC</t>
        </is>
      </c>
      <c r="B17" s="6" t="inlineStr">
        <is>
          <t>Roles, permissions &amp; approvals</t>
        </is>
      </c>
      <c r="C17" s="6" t="inlineStr">
        <is>
          <t>Section 6 User Roles, NFR-004</t>
        </is>
      </c>
      <c r="D17" s="6" t="inlineStr">
        <is>
          <t>Role-based access, least privilege, approval workflows and audit controls</t>
        </is>
      </c>
      <c r="E17" s="6" t="inlineStr">
        <is>
          <t>Users, Approvals, Security</t>
        </is>
      </c>
      <c r="F17" s="12" t="n">
        <v>45</v>
      </c>
      <c r="G17" s="12" t="n">
        <v>70</v>
      </c>
      <c r="H17" s="12" t="n">
        <v>100</v>
      </c>
      <c r="I17" s="6" t="inlineStr">
        <is>
          <t>Medium</t>
        </is>
      </c>
      <c r="J17" s="6" t="inlineStr">
        <is>
          <t>Create role matrix.</t>
        </is>
      </c>
      <c r="K17" s="13">
        <f>G17*Assumptions!$B$3</f>
        <v/>
      </c>
      <c r="L17" s="14">
        <f>K17*Assumptions!$B$5</f>
        <v/>
      </c>
    </row>
    <row r="18" ht="36" customHeight="1">
      <c r="A18" s="6" t="inlineStr">
        <is>
          <t>QA</t>
        </is>
      </c>
      <c r="B18" s="6" t="inlineStr">
        <is>
          <t>Testing, UAT &amp; quality assurance</t>
        </is>
      </c>
      <c r="C18" s="6" t="inlineStr">
        <is>
          <t>NFR-012, Acceptance Criteria</t>
        </is>
      </c>
      <c r="D18" s="6" t="inlineStr">
        <is>
          <t>Unit, integration, migration validation, UAT, POS, scheduling, financial reconciliation, regression testing</t>
        </is>
      </c>
      <c r="E18" s="6" t="inlineStr">
        <is>
          <t>Project, Test scripts</t>
        </is>
      </c>
      <c r="F18" s="12" t="n">
        <v>100</v>
      </c>
      <c r="G18" s="12" t="n">
        <v>145</v>
      </c>
      <c r="H18" s="12" t="n">
        <v>210</v>
      </c>
      <c r="I18" s="6" t="inlineStr">
        <is>
          <t>High</t>
        </is>
      </c>
      <c r="J18" s="6" t="inlineStr">
        <is>
          <t>Formal UAT scripts required.</t>
        </is>
      </c>
      <c r="K18" s="13">
        <f>G18*Assumptions!$B$3</f>
        <v/>
      </c>
      <c r="L18" s="14">
        <f>K18*Assumptions!$B$5</f>
        <v/>
      </c>
    </row>
    <row r="19" ht="36" customHeight="1">
      <c r="A19" s="6" t="inlineStr">
        <is>
          <t>TRAIN</t>
        </is>
      </c>
      <c r="B19" s="6" t="inlineStr">
        <is>
          <t>Training &amp; change management</t>
        </is>
      </c>
      <c r="C19" s="6" t="inlineStr">
        <is>
          <t>Documentation, User adoption KPI</t>
        </is>
      </c>
      <c r="D19" s="6" t="inlineStr">
        <is>
          <t>Admin/front desk/POS/accounting/instructor workflow training, user guides</t>
        </is>
      </c>
      <c r="E19" s="6" t="inlineStr">
        <is>
          <t>Knowledge, eLearning</t>
        </is>
      </c>
      <c r="F19" s="12" t="n">
        <v>65</v>
      </c>
      <c r="G19" s="12" t="n">
        <v>95</v>
      </c>
      <c r="H19" s="12" t="n">
        <v>135</v>
      </c>
      <c r="I19" s="6" t="inlineStr">
        <is>
          <t>Medium</t>
        </is>
      </c>
      <c r="J19" s="6" t="inlineStr">
        <is>
          <t>Remote training assumed.</t>
        </is>
      </c>
      <c r="K19" s="13">
        <f>G19*Assumptions!$B$3</f>
        <v/>
      </c>
      <c r="L19" s="14">
        <f>K19*Assumptions!$B$5</f>
        <v/>
      </c>
    </row>
    <row r="20" ht="36" customHeight="1">
      <c r="A20" s="6" t="inlineStr">
        <is>
          <t>GO</t>
        </is>
      </c>
      <c r="B20" s="6" t="inlineStr">
        <is>
          <t>Cutover, go-live &amp; 30-day stabilization</t>
        </is>
      </c>
      <c r="C20" s="6" t="inlineStr">
        <is>
          <t>Cutover Strategy, Overall Acceptance</t>
        </is>
      </c>
      <c r="D20" s="6" t="inlineStr">
        <is>
          <t>Go-live checklist, final migration, freeze window, launch support, 30-day stabilization</t>
        </is>
      </c>
      <c r="E20" s="6" t="inlineStr">
        <is>
          <t>All modules</t>
        </is>
      </c>
      <c r="F20" s="12" t="n">
        <v>70</v>
      </c>
      <c r="G20" s="12" t="n">
        <v>105</v>
      </c>
      <c r="H20" s="12" t="n">
        <v>150</v>
      </c>
      <c r="I20" s="6" t="inlineStr">
        <is>
          <t>High</t>
        </is>
      </c>
      <c r="J20" s="6" t="inlineStr">
        <is>
          <t>Post-go-live support window included.</t>
        </is>
      </c>
      <c r="K20" s="13">
        <f>G20*Assumptions!$B$3</f>
        <v/>
      </c>
      <c r="L20" s="14">
        <f>K20*Assumptions!$B$5</f>
        <v/>
      </c>
    </row>
    <row r="21" ht="36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36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7" t="inlineStr">
        <is>
          <t>Implementation subtotal</t>
        </is>
      </c>
      <c r="K22" s="8">
        <f>SUM(K2:K20)</f>
        <v/>
      </c>
      <c r="L22" s="9">
        <f>K22*Assumptions!$B$5</f>
        <v/>
      </c>
    </row>
    <row r="23" ht="3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7" t="inlineStr">
        <is>
          <t>Contingency</t>
        </is>
      </c>
      <c r="K23" s="8">
        <f>K22*Assumptions!$B$4</f>
        <v/>
      </c>
      <c r="L23" s="9">
        <f>K23*Assumptions!$B$5</f>
        <v/>
      </c>
    </row>
    <row r="24" ht="36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7" t="inlineStr">
        <is>
          <t>Implementation total</t>
        </is>
      </c>
      <c r="K24" s="8">
        <f>K22+K23</f>
        <v/>
      </c>
      <c r="L24" s="9">
        <f>K24*Assumptions!$B$5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  <col width="16" customWidth="1" min="4" max="4"/>
    <col width="16" customWidth="1" min="5" max="5"/>
    <col width="18" customWidth="1" min="6" max="6"/>
    <col width="52" customWidth="1" min="7" max="7"/>
  </cols>
  <sheetData>
    <row r="1" ht="24" customHeight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  <c r="D1" s="3" t="n"/>
      <c r="E1" s="3" t="n"/>
      <c r="F1" s="3" t="n"/>
      <c r="G1" s="3" t="n"/>
    </row>
    <row r="2" ht="36" customHeight="1">
      <c r="A2" s="6" t="inlineStr">
        <is>
          <t>Planning paid internal users</t>
        </is>
      </c>
      <c r="B2" s="6" t="n">
        <v>12</v>
      </c>
      <c r="C2" s="6" t="inlineStr">
        <is>
          <t>Editable; BRD has roles but no exact headcount.</t>
        </is>
      </c>
      <c r="D2" s="3" t="n"/>
      <c r="E2" s="3" t="n"/>
      <c r="F2" s="3" t="n"/>
      <c r="G2" s="3" t="n"/>
    </row>
    <row r="3" ht="36" customHeight="1">
      <c r="A3" s="6" t="inlineStr">
        <is>
          <t>Standard annual billing price per user/month USD</t>
        </is>
      </c>
      <c r="B3" s="10" t="n">
        <v>24.9</v>
      </c>
      <c r="C3" s="6" t="inlineStr">
        <is>
          <t>Planning rate; confirm final quote.</t>
        </is>
      </c>
      <c r="D3" s="3" t="n"/>
      <c r="E3" s="3" t="n"/>
      <c r="F3" s="3" t="n"/>
      <c r="G3" s="3" t="n"/>
    </row>
    <row r="4" ht="36" customHeight="1">
      <c r="A4" s="6" t="inlineStr">
        <is>
          <t>Standard monthly billing price per user/month USD</t>
        </is>
      </c>
      <c r="B4" s="10" t="n">
        <v>31.1</v>
      </c>
      <c r="C4" s="6" t="inlineStr">
        <is>
          <t>Comparison only.</t>
        </is>
      </c>
      <c r="D4" s="3" t="n"/>
      <c r="E4" s="3" t="n"/>
      <c r="F4" s="3" t="n"/>
      <c r="G4" s="3" t="n"/>
    </row>
    <row r="5" ht="36" customHeight="1">
      <c r="A5" s="6" t="inlineStr">
        <is>
          <t>Custom annual billing price per user/month USD</t>
        </is>
      </c>
      <c r="B5" s="10" t="n">
        <v>37.4</v>
      </c>
      <c r="C5" s="6" t="inlineStr">
        <is>
          <t>Recommended planning rate.</t>
        </is>
      </c>
      <c r="D5" s="3" t="n"/>
      <c r="E5" s="3" t="n"/>
      <c r="F5" s="3" t="n"/>
      <c r="G5" s="3" t="n"/>
    </row>
    <row r="6" ht="36" customHeight="1">
      <c r="A6" s="6" t="inlineStr">
        <is>
          <t>Custom monthly billing price per user/month USD</t>
        </is>
      </c>
      <c r="B6" s="10" t="n">
        <v>46.8</v>
      </c>
      <c r="C6" s="6" t="inlineStr">
        <is>
          <t>Comparison only.</t>
        </is>
      </c>
      <c r="D6" s="3" t="n"/>
      <c r="E6" s="3" t="n"/>
      <c r="F6" s="3" t="n"/>
      <c r="G6" s="3" t="n"/>
    </row>
    <row r="7" ht="36" customHeight="1">
      <c r="A7" s="6" t="inlineStr">
        <is>
          <t>FX rate USD to INR</t>
        </is>
      </c>
      <c r="B7" s="15" t="n">
        <v>83.5</v>
      </c>
      <c r="C7" s="6" t="inlineStr">
        <is>
          <t>Editable assumption.</t>
        </is>
      </c>
      <c r="D7" s="3" t="n"/>
      <c r="E7" s="3" t="n"/>
      <c r="F7" s="3" t="n"/>
      <c r="G7" s="3" t="n"/>
    </row>
    <row r="8" ht="36" customHeight="1">
      <c r="A8" s="3" t="n"/>
      <c r="B8" s="3" t="n"/>
      <c r="C8" s="3" t="n"/>
      <c r="D8" s="3" t="n"/>
      <c r="E8" s="3" t="n"/>
      <c r="F8" s="3" t="n"/>
      <c r="G8" s="3" t="n"/>
    </row>
    <row r="9" ht="36" customHeight="1">
      <c r="A9" s="3" t="n"/>
      <c r="B9" s="3" t="n"/>
      <c r="C9" s="3" t="n"/>
      <c r="D9" s="3" t="n"/>
      <c r="E9" s="3" t="n"/>
      <c r="F9" s="3" t="n"/>
      <c r="G9" s="3" t="n"/>
    </row>
    <row r="10" ht="36" customHeight="1">
      <c r="A10" s="4" t="inlineStr">
        <is>
          <t>Plan</t>
        </is>
      </c>
      <c r="B10" s="4" t="inlineStr">
        <is>
          <t>Included</t>
        </is>
      </c>
      <c r="C10" s="4" t="inlineStr">
        <is>
          <t>Billing</t>
        </is>
      </c>
      <c r="D10" s="4" t="inlineStr">
        <is>
          <t>Monthly USD</t>
        </is>
      </c>
      <c r="E10" s="4" t="inlineStr">
        <is>
          <t>Annual USD</t>
        </is>
      </c>
      <c r="F10" s="4" t="inlineStr">
        <is>
          <t>Annual INR Ref</t>
        </is>
      </c>
      <c r="G10" s="4" t="inlineStr">
        <is>
          <t>Notes</t>
        </is>
      </c>
    </row>
    <row r="11" ht="36" customHeight="1">
      <c r="A11" s="6" t="inlineStr">
        <is>
          <t>One App Free</t>
        </is>
      </c>
      <c r="B11" s="6" t="inlineStr">
        <is>
          <t>One app only</t>
        </is>
      </c>
      <c r="C11" s="6" t="inlineStr">
        <is>
          <t>N/A</t>
        </is>
      </c>
      <c r="D11" s="10">
        <f>0</f>
        <v/>
      </c>
      <c r="E11" s="10">
        <f>0</f>
        <v/>
      </c>
      <c r="F11" s="11">
        <f>E10*$B$7</f>
        <v/>
      </c>
      <c r="G11" s="6" t="inlineStr">
        <is>
          <t>Not suitable for this BRD.</t>
        </is>
      </c>
    </row>
    <row r="12" ht="36" customHeight="1">
      <c r="A12" s="6" t="inlineStr">
        <is>
          <t>Standard</t>
        </is>
      </c>
      <c r="B12" s="6" t="inlineStr">
        <is>
          <t>All apps, Odoo Online</t>
        </is>
      </c>
      <c r="C12" s="6" t="inlineStr">
        <is>
          <t>Annual</t>
        </is>
      </c>
      <c r="D12" s="10">
        <f>B$2*B$3</f>
        <v/>
      </c>
      <c r="E12" s="10">
        <f>D11*12</f>
        <v/>
      </c>
      <c r="F12" s="11">
        <f>E11*$B$7</f>
        <v/>
      </c>
      <c r="G12" s="6" t="inlineStr">
        <is>
          <t>Comparison only; no custom modules/API/Studio.</t>
        </is>
      </c>
    </row>
    <row r="13" ht="36" customHeight="1">
      <c r="A13" s="6" t="inlineStr">
        <is>
          <t>Standard</t>
        </is>
      </c>
      <c r="B13" s="6" t="inlineStr">
        <is>
          <t>All apps, Odoo Online</t>
        </is>
      </c>
      <c r="C13" s="6" t="inlineStr">
        <is>
          <t>Monthly</t>
        </is>
      </c>
      <c r="D13" s="10">
        <f>B$2*B$4</f>
        <v/>
      </c>
      <c r="E13" s="10">
        <f>D12*12</f>
        <v/>
      </c>
      <c r="F13" s="11">
        <f>E12*$B$7</f>
        <v/>
      </c>
      <c r="G13" s="6" t="inlineStr">
        <is>
          <t>Comparison only.</t>
        </is>
      </c>
    </row>
    <row r="14" ht="36" customHeight="1">
      <c r="A14" s="16" t="inlineStr">
        <is>
          <t>Custom - Recommended</t>
        </is>
      </c>
      <c r="B14" s="16" t="inlineStr">
        <is>
          <t>All apps, Odoo Online/Odoo.sh/on-premise, Studio, Multi-Company, External API</t>
        </is>
      </c>
      <c r="C14" s="16" t="inlineStr">
        <is>
          <t>Annual</t>
        </is>
      </c>
      <c r="D14" s="17">
        <f>B$2*B$5</f>
        <v/>
      </c>
      <c r="E14" s="17">
        <f>D13*12</f>
        <v/>
      </c>
      <c r="F14" s="18">
        <f>E13*$B$7</f>
        <v/>
      </c>
      <c r="G14" s="16" t="inlineStr">
        <is>
          <t>Recommended due BRD customization/integration needs.</t>
        </is>
      </c>
    </row>
    <row r="15" ht="36" customHeight="1">
      <c r="A15" s="6" t="inlineStr">
        <is>
          <t>Custom</t>
        </is>
      </c>
      <c r="B15" s="6" t="inlineStr">
        <is>
          <t>All apps, Odoo Online/Odoo.sh/on-premise, Studio, Multi-Company, External API</t>
        </is>
      </c>
      <c r="C15" s="6" t="inlineStr">
        <is>
          <t>Monthly</t>
        </is>
      </c>
      <c r="D15" s="10">
        <f>B$2*B$6</f>
        <v/>
      </c>
      <c r="E15" s="10">
        <f>D14*12</f>
        <v/>
      </c>
      <c r="F15" s="11">
        <f>E14*$B$7</f>
        <v/>
      </c>
      <c r="G15" s="6" t="inlineStr">
        <is>
          <t>Comparison only.</t>
        </is>
      </c>
    </row>
    <row r="16" ht="36" customHeight="1">
      <c r="A16" s="6" t="inlineStr">
        <is>
          <t>Odoo.sh hosting</t>
        </is>
      </c>
      <c r="B16" s="6" t="inlineStr">
        <is>
          <t>Hosting for custom modules</t>
        </is>
      </c>
      <c r="C16" s="6" t="inlineStr">
        <is>
          <t>Quote required</t>
        </is>
      </c>
      <c r="D16" s="6">
        <f>0</f>
        <v/>
      </c>
      <c r="E16" s="6">
        <f>0</f>
        <v/>
      </c>
      <c r="F16" s="6">
        <f>E15*$B$7</f>
        <v/>
      </c>
      <c r="G16" s="6" t="inlineStr">
        <is>
          <t>Not included in license.</t>
        </is>
      </c>
    </row>
    <row r="17" ht="36" customHeight="1">
      <c r="A17" s="3" t="n"/>
      <c r="B17" s="3" t="n"/>
      <c r="C17" s="3" t="n"/>
      <c r="D17" s="3" t="n"/>
      <c r="E17" s="3" t="n"/>
      <c r="F17" s="3" t="n"/>
      <c r="G17" s="3" t="n"/>
    </row>
    <row r="18" ht="36" customHeight="1">
      <c r="A18" s="4" t="inlineStr">
        <is>
          <t>Topic</t>
        </is>
      </c>
      <c r="B18" s="4" t="inlineStr">
        <is>
          <t>Note</t>
        </is>
      </c>
      <c r="C18" s="3" t="n"/>
      <c r="D18" s="3" t="n"/>
      <c r="E18" s="3" t="n"/>
      <c r="F18" s="3" t="n"/>
      <c r="G18" s="3" t="n"/>
    </row>
    <row r="19" ht="36" customHeight="1">
      <c r="A19" s="6" t="inlineStr">
        <is>
          <t>License note</t>
        </is>
      </c>
      <c r="B19" s="6" t="inlineStr">
        <is>
          <t>Odoo subscription is a vendor cost, separate from India implementation services.</t>
        </is>
      </c>
      <c r="C19" s="3" t="n"/>
      <c r="D19" s="3" t="n"/>
      <c r="E19" s="3" t="n"/>
      <c r="F19" s="3" t="n"/>
      <c r="G19" s="3" t="n"/>
    </row>
    <row r="20" ht="36" customHeight="1">
      <c r="A20" s="6" t="inlineStr">
        <is>
          <t>Billing country</t>
        </is>
      </c>
      <c r="B20" s="6" t="inlineStr">
        <is>
          <t>If the license is contracted in India, request an official INR quote from Odoo; if contracted by the US client, use the applicable US quote.</t>
        </is>
      </c>
      <c r="C20" s="3" t="n"/>
      <c r="D20" s="3" t="n"/>
      <c r="E20" s="3" t="n"/>
      <c r="F20" s="3" t="n"/>
      <c r="G20" s="3" t="n"/>
    </row>
    <row r="21" ht="36" customHeight="1">
      <c r="A21" s="6" t="inlineStr">
        <is>
          <t>Portal users</t>
        </is>
      </c>
      <c r="B21" s="6" t="inlineStr">
        <is>
          <t>Customer/member portal users are not treated as paid backend users for this estimate.</t>
        </is>
      </c>
      <c r="C21" s="3" t="n"/>
      <c r="D21" s="3" t="n"/>
      <c r="E21" s="3" t="n"/>
      <c r="F21" s="3" t="n"/>
      <c r="G21" s="3" t="n"/>
    </row>
    <row r="22" ht="36" customHeight="1">
      <c r="A22" s="6" t="inlineStr">
        <is>
          <t>Exclusions</t>
        </is>
      </c>
      <c r="B22" s="6" t="inlineStr">
        <is>
          <t>Implementation services, IAP/SMS credits, Odoo.sh hosting, and custom-code maintenance are excluded from license pricing.</t>
        </is>
      </c>
      <c r="C22" s="3" t="n"/>
      <c r="D22" s="3" t="n"/>
      <c r="E22" s="3" t="n"/>
      <c r="F22" s="3" t="n"/>
      <c r="G2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6" customWidth="1" min="4" max="4"/>
    <col width="16" customWidth="1" min="5" max="5"/>
    <col width="18" customWidth="1" min="6" max="6"/>
    <col width="54" customWidth="1" min="7" max="7"/>
  </cols>
  <sheetData>
    <row r="1" ht="24" customHeight="1">
      <c r="A1" s="4" t="inlineStr">
        <is>
          <t>Category</t>
        </is>
      </c>
      <c r="B1" s="4" t="inlineStr">
        <is>
          <t>Item</t>
        </is>
      </c>
      <c r="C1" s="4" t="inlineStr">
        <is>
          <t>Qty</t>
        </is>
      </c>
      <c r="D1" s="4" t="inlineStr">
        <is>
          <t>Unit Cost USD</t>
        </is>
      </c>
      <c r="E1" s="4" t="inlineStr">
        <is>
          <t>Estimated Cost USD</t>
        </is>
      </c>
      <c r="F1" s="4" t="inlineStr">
        <is>
          <t>Estimated INR Ref</t>
        </is>
      </c>
      <c r="G1" s="4" t="inlineStr">
        <is>
          <t>Notes</t>
        </is>
      </c>
    </row>
    <row r="2" ht="36" customHeight="1">
      <c r="A2" s="6" t="inlineStr">
        <is>
          <t>POS Hardware</t>
        </is>
      </c>
      <c r="B2" s="6" t="inlineStr">
        <is>
          <t>Barcode scanners</t>
        </is>
      </c>
      <c r="C2" s="6" t="n">
        <v>2</v>
      </c>
      <c r="D2" s="10" t="n">
        <v>175</v>
      </c>
      <c r="E2" s="10">
        <f>C2*D2</f>
        <v/>
      </c>
      <c r="F2" s="11">
        <f>E2*Assumptions!$B$5</f>
        <v/>
      </c>
      <c r="G2" s="6" t="inlineStr">
        <is>
          <t>Needed for BR-POS-001; client-local procurement.</t>
        </is>
      </c>
    </row>
    <row r="3" ht="36" customHeight="1">
      <c r="A3" s="6" t="inlineStr">
        <is>
          <t>POS Hardware</t>
        </is>
      </c>
      <c r="B3" s="6" t="inlineStr">
        <is>
          <t>Receipt printers</t>
        </is>
      </c>
      <c r="C3" s="6" t="n">
        <v>2</v>
      </c>
      <c r="D3" s="10" t="n">
        <v>300</v>
      </c>
      <c r="E3" s="10">
        <f>C3*D3</f>
        <v/>
      </c>
      <c r="F3" s="11">
        <f>E3*Assumptions!$B$5</f>
        <v/>
      </c>
      <c r="G3" s="6" t="inlineStr">
        <is>
          <t>Estimate only.</t>
        </is>
      </c>
    </row>
    <row r="4" ht="36" customHeight="1">
      <c r="A4" s="6" t="inlineStr">
        <is>
          <t>POS Hardware</t>
        </is>
      </c>
      <c r="B4" s="6" t="inlineStr">
        <is>
          <t>Cash drawers</t>
        </is>
      </c>
      <c r="C4" s="6" t="n">
        <v>2</v>
      </c>
      <c r="D4" s="10" t="n">
        <v>150</v>
      </c>
      <c r="E4" s="10">
        <f>C4*D4</f>
        <v/>
      </c>
      <c r="F4" s="11">
        <f>E4*Assumptions!$B$5</f>
        <v/>
      </c>
      <c r="G4" s="6" t="inlineStr">
        <is>
          <t>Estimate only.</t>
        </is>
      </c>
    </row>
    <row r="5" ht="36" customHeight="1">
      <c r="A5" s="6" t="inlineStr">
        <is>
          <t>POS Hardware</t>
        </is>
      </c>
      <c r="B5" s="6" t="inlineStr">
        <is>
          <t>Label printer for inventory/barcodes</t>
        </is>
      </c>
      <c r="C5" s="6" t="n">
        <v>1</v>
      </c>
      <c r="D5" s="10" t="n">
        <v>450</v>
      </c>
      <c r="E5" s="10">
        <f>C5*D5</f>
        <v/>
      </c>
      <c r="F5" s="11">
        <f>E5*Assumptions!$B$5</f>
        <v/>
      </c>
      <c r="G5" s="6" t="inlineStr">
        <is>
          <t>For SKU/barcode labels.</t>
        </is>
      </c>
    </row>
    <row r="6" ht="36" customHeight="1">
      <c r="A6" s="6" t="inlineStr">
        <is>
          <t>POS Hardware</t>
        </is>
      </c>
      <c r="B6" s="6" t="inlineStr">
        <is>
          <t>POS terminal/tablet/computer allowance</t>
        </is>
      </c>
      <c r="C6" s="6" t="n">
        <v>2</v>
      </c>
      <c r="D6" s="10" t="n">
        <v>850</v>
      </c>
      <c r="E6" s="10">
        <f>C6*D6</f>
        <v/>
      </c>
      <c r="F6" s="11">
        <f>E6*Assumptions!$B$5</f>
        <v/>
      </c>
      <c r="G6" s="6" t="inlineStr">
        <is>
          <t>Use existing hardware if compatible.</t>
        </is>
      </c>
    </row>
    <row r="7" ht="36" customHeight="1">
      <c r="A7" s="6" t="inlineStr">
        <is>
          <t>Payments</t>
        </is>
      </c>
      <c r="B7" s="6" t="inlineStr">
        <is>
          <t>Payment terminals</t>
        </is>
      </c>
      <c r="C7" s="6" t="n">
        <v>2</v>
      </c>
      <c r="D7" s="10" t="n">
        <v>0</v>
      </c>
      <c r="E7" s="10">
        <f>C7*D7</f>
        <v/>
      </c>
      <c r="F7" s="11">
        <f>E7*Assumptions!$B$5</f>
        <v/>
      </c>
      <c r="G7" s="6" t="inlineStr">
        <is>
          <t>Processor/provider quote required.</t>
        </is>
      </c>
    </row>
    <row r="8" ht="36" customHeight="1">
      <c r="A8" s="6" t="inlineStr">
        <is>
          <t>Communications</t>
        </is>
      </c>
      <c r="B8" s="6" t="inlineStr">
        <is>
          <t>SMS / IAP credits</t>
        </is>
      </c>
      <c r="C8" s="6" t="n">
        <v>1</v>
      </c>
      <c r="D8" s="10" t="n">
        <v>0</v>
      </c>
      <c r="E8" s="10">
        <f>C8*D8</f>
        <v/>
      </c>
      <c r="F8" s="11">
        <f>E8*Assumptions!$B$5</f>
        <v/>
      </c>
      <c r="G8" s="6" t="inlineStr">
        <is>
          <t>Excluded from license.</t>
        </is>
      </c>
    </row>
    <row r="9" ht="36" customHeight="1">
      <c r="A9" s="6" t="inlineStr">
        <is>
          <t>Payroll</t>
        </is>
      </c>
      <c r="B9" s="6" t="inlineStr">
        <is>
          <t>US payroll provider/subscription</t>
        </is>
      </c>
      <c r="C9" s="6" t="n">
        <v>1</v>
      </c>
      <c r="D9" s="10" t="n">
        <v>0</v>
      </c>
      <c r="E9" s="10">
        <f>C9*D9</f>
        <v/>
      </c>
      <c r="F9" s="11">
        <f>E9*Assumptions!$B$5</f>
        <v/>
      </c>
      <c r="G9" s="6" t="inlineStr">
        <is>
          <t>Provider cost to confirm.</t>
        </is>
      </c>
    </row>
    <row r="10" ht="36" customHeight="1">
      <c r="A10" s="6" t="inlineStr">
        <is>
          <t>Data</t>
        </is>
      </c>
      <c r="B10" s="6" t="inlineStr">
        <is>
          <t>Sage 50 export/support assistance</t>
        </is>
      </c>
      <c r="C10" s="6" t="n">
        <v>1</v>
      </c>
      <c r="D10" s="10" t="n">
        <v>0</v>
      </c>
      <c r="E10" s="10">
        <f>C10*D10</f>
        <v/>
      </c>
      <c r="F10" s="11">
        <f>E10*Assumptions!$B$5</f>
        <v/>
      </c>
      <c r="G10" s="6" t="inlineStr">
        <is>
          <t>May be client/vendor task.</t>
        </is>
      </c>
    </row>
    <row r="11" ht="36" customHeight="1">
      <c r="A11" s="6" t="inlineStr">
        <is>
          <t>Travel</t>
        </is>
      </c>
      <c r="B11" s="6" t="inlineStr">
        <is>
          <t>Onsite travel and expenses</t>
        </is>
      </c>
      <c r="C11" s="6" t="n">
        <v>1</v>
      </c>
      <c r="D11" s="10" t="n">
        <v>0</v>
      </c>
      <c r="E11" s="10">
        <f>C11*D11</f>
        <v/>
      </c>
      <c r="F11" s="11">
        <f>E11*Assumptions!$B$5</f>
        <v/>
      </c>
      <c r="G11" s="6" t="inlineStr">
        <is>
          <t>Remote India delivery assumed.</t>
        </is>
      </c>
    </row>
    <row r="12" ht="36" customHeight="1">
      <c r="A12" s="6" t="inlineStr">
        <is>
          <t>Contingency</t>
        </is>
      </c>
      <c r="B12" s="6" t="inlineStr">
        <is>
          <t>Hardware contingency</t>
        </is>
      </c>
      <c r="C12" s="6" t="n">
        <v>1</v>
      </c>
      <c r="D12" s="10">
        <f>SUM(E2:E11)*0.10</f>
        <v/>
      </c>
      <c r="E12" s="10">
        <f>C12*D12</f>
        <v/>
      </c>
      <c r="F12" s="11">
        <f>E12*Assumptions!$B$5</f>
        <v/>
      </c>
      <c r="G12" s="6" t="inlineStr">
        <is>
          <t>10% placeholder contingency.</t>
        </is>
      </c>
    </row>
    <row r="13" ht="36" customHeight="1">
      <c r="A13" s="3" t="n"/>
      <c r="B13" s="3" t="n"/>
      <c r="C13" s="3" t="n"/>
      <c r="D13" s="3" t="n"/>
      <c r="E13" s="3" t="n"/>
      <c r="F13" s="3" t="n"/>
      <c r="G13" s="3" t="n"/>
    </row>
    <row r="14" ht="36" customHeight="1">
      <c r="A14" s="3" t="n"/>
      <c r="B14" s="3" t="n"/>
      <c r="C14" s="3" t="n"/>
      <c r="D14" s="3" t="n"/>
      <c r="E14" s="3" t="n"/>
      <c r="F14" s="3" t="n"/>
      <c r="G14" s="3" t="n"/>
    </row>
    <row r="15" ht="36" customHeight="1">
      <c r="A15" s="3" t="n"/>
      <c r="B15" s="3" t="n"/>
      <c r="C15" s="3" t="n"/>
      <c r="D15" s="3" t="n"/>
      <c r="E15" s="3" t="n"/>
      <c r="F15" s="3" t="n"/>
      <c r="G15" s="3" t="n"/>
    </row>
    <row r="16" ht="36" customHeight="1">
      <c r="A16" s="3" t="n"/>
      <c r="B16" s="3" t="n"/>
      <c r="C16" s="3" t="n"/>
      <c r="D16" s="7" t="inlineStr">
        <is>
          <t>Total</t>
        </is>
      </c>
      <c r="E16" s="8">
        <f>SUM(E2:E12)</f>
        <v/>
      </c>
      <c r="F16" s="9">
        <f>E16*Assumptions!$B$5</f>
        <v/>
      </c>
      <c r="G16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44" customWidth="1" min="4" max="4"/>
    <col width="14" customWidth="1" min="5" max="5"/>
    <col width="16" customWidth="1" min="6" max="6"/>
    <col width="18" customWidth="1" min="7" max="7"/>
    <col width="44" customWidth="1" min="8" max="8"/>
  </cols>
  <sheetData>
    <row r="1" ht="24" customHeight="1">
      <c r="A1" s="4" t="inlineStr">
        <is>
          <t>Phase</t>
        </is>
      </c>
      <c r="B1" s="4" t="inlineStr">
        <is>
          <t>BRD Priority</t>
        </is>
      </c>
      <c r="C1" s="4" t="inlineStr">
        <is>
          <t>Workstreams</t>
        </is>
      </c>
      <c r="D1" s="4" t="inlineStr">
        <is>
          <t>Target Outcome</t>
        </is>
      </c>
      <c r="E1" s="4" t="inlineStr">
        <is>
          <t>Base Hours</t>
        </is>
      </c>
      <c r="F1" s="4" t="inlineStr">
        <is>
          <t>Cost USD</t>
        </is>
      </c>
      <c r="G1" s="4" t="inlineStr">
        <is>
          <t>Cost INR Ref</t>
        </is>
      </c>
      <c r="H1" s="4" t="inlineStr">
        <is>
          <t>Notes</t>
        </is>
      </c>
    </row>
    <row r="2" ht="36" customHeight="1">
      <c r="A2" s="6" t="inlineStr">
        <is>
          <t>Phase 0</t>
        </is>
      </c>
      <c r="B2" s="6" t="inlineStr">
        <is>
          <t>Initiation</t>
        </is>
      </c>
      <c r="C2" s="6" t="inlineStr">
        <is>
          <t>Discovery, blueprint, project governance, base setup</t>
        </is>
      </c>
      <c r="D2" s="6" t="inlineStr">
        <is>
          <t>Validated scope, backlog and environment readiness</t>
        </is>
      </c>
      <c r="E2" s="12">
        <f>SUM('Implementation Cost'!G2:G4)</f>
        <v/>
      </c>
      <c r="F2" s="10">
        <f>E2*Assumptions!$B$3</f>
        <v/>
      </c>
      <c r="G2" s="11">
        <f>F2*Assumptions!$B$5</f>
        <v/>
      </c>
      <c r="H2" s="6" t="inlineStr">
        <is>
          <t>Remote India workshops.</t>
        </is>
      </c>
    </row>
    <row r="3" ht="36" customHeight="1">
      <c r="A3" s="6" t="inlineStr">
        <is>
          <t>Phase 1</t>
        </is>
      </c>
      <c r="B3" s="6" t="inlineStr">
        <is>
          <t>Core Operations</t>
        </is>
      </c>
      <c r="C3" s="6" t="inlineStr">
        <is>
          <t>CRM, memberships, court scheduling, programs, POS, inventory, AR/customer billing</t>
        </is>
      </c>
      <c r="D3" s="6" t="inlineStr">
        <is>
          <t>Daily operations ready for UAT</t>
        </is>
      </c>
      <c r="E3" s="12">
        <f>SUM('Implementation Cost'!G5:G10)</f>
        <v/>
      </c>
      <c r="F3" s="10">
        <f>E3*Assumptions!$B$3</f>
        <v/>
      </c>
      <c r="G3" s="11">
        <f>F3*Assumptions!$B$5</f>
        <v/>
      </c>
      <c r="H3" s="6" t="inlineStr">
        <is>
          <t>Core operational milestone.</t>
        </is>
      </c>
    </row>
    <row r="4" ht="36" customHeight="1">
      <c r="A4" s="6" t="inlineStr">
        <is>
          <t>Phase 2</t>
        </is>
      </c>
      <c r="B4" s="6" t="inlineStr">
        <is>
          <t>Financial Management</t>
        </is>
      </c>
      <c r="C4" s="6" t="inlineStr">
        <is>
          <t>Purchasing, AP, GL, bank reconciliation, payroll/HR, approvals</t>
        </is>
      </c>
      <c r="D4" s="6" t="inlineStr">
        <is>
          <t>Financial and payroll workflows configured</t>
        </is>
      </c>
      <c r="E4" s="12">
        <f>SUM('Implementation Cost'!G11:G12)+'Implementation Cost'!G17</f>
        <v/>
      </c>
      <c r="F4" s="10">
        <f>E4*Assumptions!$B$3</f>
        <v/>
      </c>
      <c r="G4" s="11">
        <f>F4*Assumptions!$B$5</f>
        <v/>
      </c>
      <c r="H4" s="6" t="inlineStr">
        <is>
          <t>Accounting and security milestone.</t>
        </is>
      </c>
    </row>
    <row r="5" ht="36" customHeight="1">
      <c r="A5" s="6" t="inlineStr">
        <is>
          <t>Phase 3</t>
        </is>
      </c>
      <c r="B5" s="6" t="inlineStr">
        <is>
          <t>Reporting &amp; Documents</t>
        </is>
      </c>
      <c r="C5" s="6" t="inlineStr">
        <is>
          <t>Documents, Sign, communications, portal, dashboards</t>
        </is>
      </c>
      <c r="D5" s="6" t="inlineStr">
        <is>
          <t>Dashboards, customer comms and documents live</t>
        </is>
      </c>
      <c r="E5" s="12">
        <f>SUM('Implementation Cost'!G13:G15)</f>
        <v/>
      </c>
      <c r="F5" s="10">
        <f>E5*Assumptions!$B$3</f>
        <v/>
      </c>
      <c r="G5" s="11">
        <f>F5*Assumptions!$B$5</f>
        <v/>
      </c>
      <c r="H5" s="6" t="inlineStr">
        <is>
          <t>Portal/booking scope to confirm.</t>
        </is>
      </c>
    </row>
    <row r="6" ht="36" customHeight="1">
      <c r="A6" s="6" t="inlineStr">
        <is>
          <t>Phase 4</t>
        </is>
      </c>
      <c r="B6" s="6" t="inlineStr">
        <is>
          <t>Migration, QA &amp; Go-Live</t>
        </is>
      </c>
      <c r="C6" s="6" t="inlineStr">
        <is>
          <t>Data migration, testing, training, cutover, stabilization</t>
        </is>
      </c>
      <c r="D6" s="6" t="inlineStr">
        <is>
          <t>Validated migration, UAT sign-off and go-live</t>
        </is>
      </c>
      <c r="E6" s="12">
        <f>SUM('Implementation Cost'!G16:G16)+SUM('Implementation Cost'!G18:G20)</f>
        <v/>
      </c>
      <c r="F6" s="10">
        <f>E6*Assumptions!$B$3</f>
        <v/>
      </c>
      <c r="G6" s="11">
        <f>F6*Assumptions!$B$5</f>
        <v/>
      </c>
      <c r="H6" s="6" t="inlineStr">
        <is>
          <t>30-day stabilization included.</t>
        </is>
      </c>
    </row>
    <row r="7" ht="36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36" customHeight="1">
      <c r="A8" s="3" t="n"/>
      <c r="B8" s="3" t="n"/>
      <c r="C8" s="3" t="n"/>
      <c r="D8" s="7" t="inlineStr">
        <is>
          <t>Subtotal by phases</t>
        </is>
      </c>
      <c r="E8" s="7">
        <f>SUM(E2:E6)</f>
        <v/>
      </c>
      <c r="F8" s="8">
        <f>SUM(F2:F6)</f>
        <v/>
      </c>
      <c r="G8" s="9">
        <f>SUM(G2:G6)</f>
        <v/>
      </c>
      <c r="H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6" customWidth="1" min="4" max="4"/>
    <col width="58" customWidth="1" min="5" max="5"/>
    <col width="58" customWidth="1" min="6" max="6"/>
    <col width="14" customWidth="1" min="7" max="7"/>
  </cols>
  <sheetData>
    <row r="1" ht="24" customHeight="1">
      <c r="A1" s="4" t="inlineStr">
        <is>
          <t>#</t>
        </is>
      </c>
      <c r="B1" s="4" t="inlineStr">
        <is>
          <t>Risk</t>
        </is>
      </c>
      <c r="C1" s="4" t="inlineStr">
        <is>
          <t>Impact</t>
        </is>
      </c>
      <c r="D1" s="4" t="inlineStr">
        <is>
          <t>Probability</t>
        </is>
      </c>
      <c r="E1" s="4" t="inlineStr">
        <is>
          <t>Description</t>
        </is>
      </c>
      <c r="F1" s="4" t="inlineStr">
        <is>
          <t>Mitigation</t>
        </is>
      </c>
      <c r="G1" s="4" t="inlineStr">
        <is>
          <t>Status</t>
        </is>
      </c>
    </row>
    <row r="2" ht="36" customHeight="1">
      <c r="A2" s="6" t="n">
        <v>1</v>
      </c>
      <c r="B2" s="6" t="inlineStr">
        <is>
          <t>Court scheduler fit</t>
        </is>
      </c>
      <c r="C2" s="6" t="inlineStr">
        <is>
          <t>High</t>
        </is>
      </c>
      <c r="D2" s="6" t="inlineStr">
        <is>
          <t>High</t>
        </is>
      </c>
      <c r="E2" s="6" t="inlineStr">
        <is>
          <t>Odoo does not provide a racquet-court scheduler exactly matching the BRD.</t>
        </is>
      </c>
      <c r="F2" s="6" t="inlineStr">
        <is>
          <t>Prototype in phase 0/1; freeze reservation rules early.</t>
        </is>
      </c>
      <c r="G2" s="6" t="inlineStr">
        <is>
          <t>Open</t>
        </is>
      </c>
    </row>
    <row r="3" ht="36" customHeight="1">
      <c r="A3" s="6" t="n">
        <v>2</v>
      </c>
      <c r="B3" s="6" t="inlineStr">
        <is>
          <t>Membership privileges and family accounts</t>
        </is>
      </c>
      <c r="C3" s="6" t="inlineStr">
        <is>
          <t>High</t>
        </is>
      </c>
      <c r="D3" s="6" t="inlineStr">
        <is>
          <t>Medium</t>
        </is>
      </c>
      <c r="E3" s="6" t="inlineStr">
        <is>
          <t>Billing, family relationships and booking privileges can become complex.</t>
        </is>
      </c>
      <c r="F3" s="6" t="inlineStr">
        <is>
          <t>Create membership catalog and household examples before build.</t>
        </is>
      </c>
      <c r="G3" s="6" t="inlineStr">
        <is>
          <t>Open</t>
        </is>
      </c>
    </row>
    <row r="4" ht="36" customHeight="1">
      <c r="A4" s="6" t="n">
        <v>3</v>
      </c>
      <c r="B4" s="6" t="inlineStr">
        <is>
          <t>US payroll compliance</t>
        </is>
      </c>
      <c r="C4" s="6" t="inlineStr">
        <is>
          <t>High</t>
        </is>
      </c>
      <c r="D4" s="6" t="inlineStr">
        <is>
          <t>Medium</t>
        </is>
      </c>
      <c r="E4" s="6" t="inlineStr">
        <is>
          <t>Payroll requirements may require US-specific provider or manual process.</t>
        </is>
      </c>
      <c r="F4" s="6" t="inlineStr">
        <is>
          <t>Confirm provider and legal compliance responsibility.</t>
        </is>
      </c>
      <c r="G4" s="6" t="inlineStr">
        <is>
          <t>Open</t>
        </is>
      </c>
    </row>
    <row r="5" ht="36" customHeight="1">
      <c r="A5" s="6" t="n">
        <v>4</v>
      </c>
      <c r="B5" s="6" t="inlineStr">
        <is>
          <t>Sage 50/data migration quality</t>
        </is>
      </c>
      <c r="C5" s="6" t="inlineStr">
        <is>
          <t>High</t>
        </is>
      </c>
      <c r="D5" s="6" t="inlineStr">
        <is>
          <t>High</t>
        </is>
      </c>
      <c r="E5" s="6" t="inlineStr">
        <is>
          <t>Data quality may affect timeline and reconciliation.</t>
        </is>
      </c>
      <c r="F5" s="6" t="inlineStr">
        <is>
          <t>Request sample exports; run mock migration and cleansing.</t>
        </is>
      </c>
      <c r="G5" s="6" t="inlineStr">
        <is>
          <t>Open</t>
        </is>
      </c>
    </row>
    <row r="6" ht="36" customHeight="1">
      <c r="A6" s="6" t="n">
        <v>5</v>
      </c>
      <c r="B6" s="6" t="inlineStr">
        <is>
          <t>POS hardware/payment terminal compatibility</t>
        </is>
      </c>
      <c r="C6" s="6" t="inlineStr">
        <is>
          <t>Medium</t>
        </is>
      </c>
      <c r="D6" s="6" t="inlineStr">
        <is>
          <t>Medium</t>
        </is>
      </c>
      <c r="E6" s="6" t="inlineStr">
        <is>
          <t>Hardware/provider choices affect POS setup.</t>
        </is>
      </c>
      <c r="F6" s="6" t="inlineStr">
        <is>
          <t>Confirm hardware list and processor before procurement.</t>
        </is>
      </c>
      <c r="G6" s="6" t="inlineStr">
        <is>
          <t>Open</t>
        </is>
      </c>
    </row>
    <row r="7" ht="36" customHeight="1">
      <c r="A7" s="6" t="n">
        <v>6</v>
      </c>
      <c r="B7" s="6" t="inlineStr">
        <is>
          <t>Online booking scope creep</t>
        </is>
      </c>
      <c r="C7" s="6" t="inlineStr">
        <is>
          <t>High</t>
        </is>
      </c>
      <c r="D7" s="6" t="inlineStr">
        <is>
          <t>Medium</t>
        </is>
      </c>
      <c r="E7" s="6" t="inlineStr">
        <is>
          <t>Online booking can expand into website/app development.</t>
        </is>
      </c>
      <c r="F7" s="6" t="inlineStr">
        <is>
          <t>Decide phase 1 vs later and define member rules.</t>
        </is>
      </c>
      <c r="G7" s="6" t="inlineStr">
        <is>
          <t>Open</t>
        </is>
      </c>
    </row>
    <row r="8" ht="36" customHeight="1">
      <c r="A8" s="6" t="n">
        <v>7</v>
      </c>
      <c r="B8" s="6" t="inlineStr">
        <is>
          <t>Financial reconciliation acceptance</t>
        </is>
      </c>
      <c r="C8" s="6" t="inlineStr">
        <is>
          <t>High</t>
        </is>
      </c>
      <c r="D8" s="6" t="inlineStr">
        <is>
          <t>Medium</t>
        </is>
      </c>
      <c r="E8" s="6" t="inlineStr">
        <is>
          <t>GL, AR, AP and inventory must reconcile before go-live.</t>
        </is>
      </c>
      <c r="F8" s="6" t="inlineStr">
        <is>
          <t>Define reconciliation owners and sign-off templates.</t>
        </is>
      </c>
      <c r="G8" s="6" t="inlineStr">
        <is>
          <t>Open</t>
        </is>
      </c>
    </row>
    <row r="9" ht="36" customHeight="1">
      <c r="A9" s="6" t="n">
        <v>8</v>
      </c>
      <c r="B9" s="6" t="inlineStr">
        <is>
          <t>Custom development upgradeability</t>
        </is>
      </c>
      <c r="C9" s="6" t="inlineStr">
        <is>
          <t>Medium</t>
        </is>
      </c>
      <c r="D9" s="6" t="inlineStr">
        <is>
          <t>High</t>
        </is>
      </c>
      <c r="E9" s="6" t="inlineStr">
        <is>
          <t>Heavy custom code can affect future Odoo upgrades.</t>
        </is>
      </c>
      <c r="F9" s="6" t="inlineStr">
        <is>
          <t>Use configuration/Studio first and document custom modules.</t>
        </is>
      </c>
      <c r="G9" s="6" t="inlineStr">
        <is>
          <t>Open</t>
        </is>
      </c>
    </row>
    <row r="10" ht="36" customHeight="1">
      <c r="A10" s="6" t="n">
        <v>9</v>
      </c>
      <c r="B10" s="6" t="inlineStr">
        <is>
          <t>User adoption at front desk</t>
        </is>
      </c>
      <c r="C10" s="6" t="inlineStr">
        <is>
          <t>Medium</t>
        </is>
      </c>
      <c r="D10" s="6" t="inlineStr">
        <is>
          <t>Medium</t>
        </is>
      </c>
      <c r="E10" s="6" t="inlineStr">
        <is>
          <t>Busy front-desk workflows need fast UX.</t>
        </is>
      </c>
      <c r="F10" s="6" t="inlineStr">
        <is>
          <t>Prototype check-in, POS and reservations with real users.</t>
        </is>
      </c>
      <c r="G10" s="6" t="inlineStr">
        <is>
          <t>Open</t>
        </is>
      </c>
    </row>
    <row r="11" ht="36" customHeight="1">
      <c r="A11" s="6" t="n">
        <v>10</v>
      </c>
      <c r="B11" s="6" t="inlineStr">
        <is>
          <t>India/US time-zone coordination</t>
        </is>
      </c>
      <c r="C11" s="6" t="inlineStr">
        <is>
          <t>Medium</t>
        </is>
      </c>
      <c r="D11" s="6" t="inlineStr">
        <is>
          <t>Low</t>
        </is>
      </c>
      <c r="E11" s="6" t="inlineStr">
        <is>
          <t>Offshore delivery requires structured overlap.</t>
        </is>
      </c>
      <c r="F11" s="6" t="inlineStr">
        <is>
          <t>Set fixed overlap window and weekly governance.</t>
        </is>
      </c>
      <c r="G11" s="6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4" t="inlineStr">
        <is>
          <t>Area</t>
        </is>
      </c>
      <c r="B1" s="4" t="inlineStr">
        <is>
          <t>Question / Input Required</t>
        </is>
      </c>
    </row>
    <row r="2" ht="36" customHeight="1">
      <c r="A2" s="6" t="inlineStr">
        <is>
          <t>User Count</t>
        </is>
      </c>
      <c r="B2" s="6" t="inlineStr">
        <is>
          <t>How many paid internal users are required at go-live by role?</t>
        </is>
      </c>
    </row>
    <row r="3" ht="36" customHeight="1">
      <c r="A3" s="6" t="inlineStr">
        <is>
          <t>Courts</t>
        </is>
      </c>
      <c r="B3" s="6" t="inlineStr">
        <is>
          <t>How many courts, court types, operating hours and maintenance block rules are needed?</t>
        </is>
      </c>
    </row>
    <row r="4" ht="36" customHeight="1">
      <c r="A4" s="6" t="inlineStr">
        <is>
          <t>Booking Rules</t>
        </is>
      </c>
      <c r="B4" s="6" t="inlineStr">
        <is>
          <t>What are member booking windows, cancellation rules, guest rules and override permissions?</t>
        </is>
      </c>
    </row>
    <row r="5" ht="36" customHeight="1">
      <c r="A5" s="6" t="inlineStr">
        <is>
          <t>Online Booking</t>
        </is>
      </c>
      <c r="B5" s="6" t="inlineStr">
        <is>
          <t>Is online member court booking required in phase 1 or future phase?</t>
        </is>
      </c>
    </row>
    <row r="6" ht="36" customHeight="1">
      <c r="A6" s="6" t="inlineStr">
        <is>
          <t>Memberships</t>
        </is>
      </c>
      <c r="B6" s="6" t="inlineStr">
        <is>
          <t>List all membership types, prices, billing cycles, privileges and family rules.</t>
        </is>
      </c>
    </row>
    <row r="7" ht="36" customHeight="1">
      <c r="A7" s="6" t="inlineStr">
        <is>
          <t>Programs</t>
        </is>
      </c>
      <c r="B7" s="6" t="inlineStr">
        <is>
          <t>List lesson, clinic, league and tournament formats with pricing and scheduling rules.</t>
        </is>
      </c>
    </row>
    <row r="8" ht="36" customHeight="1">
      <c r="A8" s="6" t="inlineStr">
        <is>
          <t>Instructor Pay</t>
        </is>
      </c>
      <c r="B8" s="6" t="inlineStr">
        <is>
          <t>How are instructor compensation, commissions and payroll calculations handled?</t>
        </is>
      </c>
    </row>
    <row r="9" ht="36" customHeight="1">
      <c r="A9" s="6" t="inlineStr">
        <is>
          <t>Payroll Provider</t>
        </is>
      </c>
      <c r="B9" s="6" t="inlineStr">
        <is>
          <t>Which US payroll provider or compliance process will be used?</t>
        </is>
      </c>
    </row>
    <row r="10" ht="36" customHeight="1">
      <c r="A10" s="6" t="inlineStr">
        <is>
          <t>Sage 50</t>
        </is>
      </c>
      <c r="B10" s="6" t="inlineStr">
        <is>
          <t>What Sage 50 version/export formats are available for GL, AR/AP, vendors, customers and inventory?</t>
        </is>
      </c>
    </row>
    <row r="11" ht="36" customHeight="1">
      <c r="A11" s="6" t="inlineStr">
        <is>
          <t>Data Volumes</t>
        </is>
      </c>
      <c r="B11" s="6" t="inlineStr">
        <is>
          <t>How many customers, members, vendors, SKUs, invoices, open balances and historical reservations exist?</t>
        </is>
      </c>
    </row>
    <row r="12" ht="36" customHeight="1">
      <c r="A12" s="6" t="inlineStr">
        <is>
          <t>Payments</t>
        </is>
      </c>
      <c r="B12" s="6" t="inlineStr">
        <is>
          <t>Which payment processor and terminals will be used for POS and online payments?</t>
        </is>
      </c>
    </row>
    <row r="13" ht="36" customHeight="1">
      <c r="A13" s="6" t="inlineStr">
        <is>
          <t>Hardware</t>
        </is>
      </c>
      <c r="B13" s="6" t="inlineStr">
        <is>
          <t>How many POS stations, scanners, printers, cash drawers and terminals are needed?</t>
        </is>
      </c>
    </row>
    <row r="14" ht="36" customHeight="1">
      <c r="A14" s="6" t="inlineStr">
        <is>
          <t>Gift Cards</t>
        </is>
      </c>
      <c r="B14" s="6" t="inlineStr">
        <is>
          <t>Are gift cards sold/redeemed today, and how should liability be accounted?</t>
        </is>
      </c>
    </row>
    <row r="15" ht="36" customHeight="1">
      <c r="A15" s="6" t="inlineStr">
        <is>
          <t>Taxes</t>
        </is>
      </c>
      <c r="B15" s="6" t="inlineStr">
        <is>
          <t>What Wisconsin sales tax/accounting rules apply to products, memberships, lessons and services?</t>
        </is>
      </c>
    </row>
    <row r="16" ht="36" customHeight="1">
      <c r="A16" s="6" t="inlineStr">
        <is>
          <t>Waivers</t>
        </is>
      </c>
      <c r="B16" s="6" t="inlineStr">
        <is>
          <t>What waiver/contract templates need e-signature and renewal tracking?</t>
        </is>
      </c>
    </row>
    <row r="17" ht="36" customHeight="1">
      <c r="A17" s="6" t="inlineStr">
        <is>
          <t>Reports</t>
        </is>
      </c>
      <c r="B17" s="6" t="inlineStr">
        <is>
          <t>Which management dashboards are mandatory for go-live?</t>
        </is>
      </c>
    </row>
    <row r="18" ht="36" customHeight="1">
      <c r="A18" s="6" t="inlineStr">
        <is>
          <t>Acceptance Baselines</t>
        </is>
      </c>
      <c r="B18" s="6" t="inlineStr">
        <is>
          <t>Current KPI baselines for check-in time, POS time, court utilization, month-end close and payroll time?</t>
        </is>
      </c>
    </row>
    <row r="19" ht="36" customHeight="1">
      <c r="A19" s="6" t="inlineStr">
        <is>
          <t>Support</t>
        </is>
      </c>
      <c r="B19" s="6" t="inlineStr">
        <is>
          <t>What post-go-live support SLA is expected after 30-day stabilization?</t>
        </is>
      </c>
    </row>
    <row r="20" ht="36" customHeight="1">
      <c r="A20" s="6" t="inlineStr">
        <is>
          <t>Travel</t>
        </is>
      </c>
      <c r="B20" s="6" t="inlineStr">
        <is>
          <t>Is onsite discovery/go-live support required, or is fully remote India delivery acceptable?</t>
        </is>
      </c>
    </row>
    <row r="21" ht="36" customHeight="1">
      <c r="A21" s="6" t="inlineStr">
        <is>
          <t>Decision Makers</t>
        </is>
      </c>
      <c r="B21" s="6" t="inlineStr">
        <is>
          <t>Who signs off on accounting, operations, data migration and UAT?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18" customWidth="1" min="4" max="4"/>
    <col width="24" customWidth="1" min="5" max="5"/>
  </cols>
  <sheetData>
    <row r="1" ht="24" customHeight="1">
      <c r="A1" s="4" t="inlineStr">
        <is>
          <t>Requirement ID</t>
        </is>
      </c>
      <c r="B1" s="4" t="inlineStr">
        <is>
          <t>Area</t>
        </is>
      </c>
      <c r="C1" s="4" t="inlineStr">
        <is>
          <t>Requirement Summary</t>
        </is>
      </c>
      <c r="D1" s="4" t="inlineStr">
        <is>
          <t>Fit Category</t>
        </is>
      </c>
      <c r="E1" s="4" t="inlineStr">
        <is>
          <t>Cost Treatment</t>
        </is>
      </c>
    </row>
    <row r="2" ht="36" customHeight="1">
      <c r="A2" s="6" t="inlineStr">
        <is>
          <t>BR-CRM-001</t>
        </is>
      </c>
      <c r="B2" s="6" t="inlineStr">
        <is>
          <t>CRM</t>
        </is>
      </c>
      <c r="C2" s="6" t="inlineStr">
        <is>
          <t>Duplicate customer verification</t>
        </is>
      </c>
      <c r="D2" s="6" t="inlineStr">
        <is>
          <t>Partial</t>
        </is>
      </c>
      <c r="E2" s="6" t="inlineStr">
        <is>
          <t>Included in estimate</t>
        </is>
      </c>
    </row>
    <row r="3" ht="36" customHeight="1">
      <c r="A3" s="6" t="inlineStr">
        <is>
          <t>BR-CRM-002</t>
        </is>
      </c>
      <c r="B3" s="6" t="inlineStr">
        <is>
          <t>CRM</t>
        </is>
      </c>
      <c r="C3" s="6" t="inlineStr">
        <is>
          <t>Contact updates across modules</t>
        </is>
      </c>
      <c r="D3" s="6" t="inlineStr">
        <is>
          <t>Partial</t>
        </is>
      </c>
      <c r="E3" s="6" t="inlineStr">
        <is>
          <t>Included in estimate</t>
        </is>
      </c>
    </row>
    <row r="4" ht="36" customHeight="1">
      <c r="A4" s="6" t="inlineStr">
        <is>
          <t>BR-CRM-003</t>
        </is>
      </c>
      <c r="B4" s="6" t="inlineStr">
        <is>
          <t>CRM</t>
        </is>
      </c>
      <c r="C4" s="6" t="inlineStr">
        <is>
          <t>Customer interaction history</t>
        </is>
      </c>
      <c r="D4" s="6" t="inlineStr">
        <is>
          <t>Partial</t>
        </is>
      </c>
      <c r="E4" s="6" t="inlineStr">
        <is>
          <t>Included in estimate</t>
        </is>
      </c>
    </row>
    <row r="5" ht="36" customHeight="1">
      <c r="A5" s="6" t="inlineStr">
        <is>
          <t>BR-CRM-004</t>
        </is>
      </c>
      <c r="B5" s="6" t="inlineStr">
        <is>
          <t>CRM</t>
        </is>
      </c>
      <c r="C5" s="6" t="inlineStr">
        <is>
          <t>Archive inactive customers</t>
        </is>
      </c>
      <c r="D5" s="6" t="inlineStr">
        <is>
          <t>Partial</t>
        </is>
      </c>
      <c r="E5" s="6" t="inlineStr">
        <is>
          <t>Included in estimate</t>
        </is>
      </c>
    </row>
    <row r="6" ht="36" customHeight="1">
      <c r="A6" s="6" t="inlineStr">
        <is>
          <t>BR-CRM-005</t>
        </is>
      </c>
      <c r="B6" s="6" t="inlineStr">
        <is>
          <t>Documents</t>
        </is>
      </c>
      <c r="C6" s="6" t="inlineStr">
        <is>
          <t>Customer documents/waivers/contracts</t>
        </is>
      </c>
      <c r="D6" s="6" t="inlineStr">
        <is>
          <t>Standard/Config</t>
        </is>
      </c>
      <c r="E6" s="6" t="inlineStr">
        <is>
          <t>Included in estimate</t>
        </is>
      </c>
    </row>
    <row r="7" ht="36" customHeight="1">
      <c r="A7" s="6" t="inlineStr">
        <is>
          <t>BR-CRM-006</t>
        </is>
      </c>
      <c r="B7" s="6" t="inlineStr">
        <is>
          <t>Memberships</t>
        </is>
      </c>
      <c r="C7" s="6" t="inlineStr">
        <is>
          <t>Recurring membership invoicing</t>
        </is>
      </c>
      <c r="D7" s="6" t="inlineStr">
        <is>
          <t>Partial</t>
        </is>
      </c>
      <c r="E7" s="6" t="inlineStr">
        <is>
          <t>Included in estimate</t>
        </is>
      </c>
    </row>
    <row r="8" ht="36" customHeight="1">
      <c r="A8" s="6" t="inlineStr">
        <is>
          <t>BR-COURT-001</t>
        </is>
      </c>
      <c r="B8" s="6" t="inlineStr">
        <is>
          <t>Court Scheduling</t>
        </is>
      </c>
      <c r="C8" s="6" t="inlineStr">
        <is>
          <t>Prevent double booking</t>
        </is>
      </c>
      <c r="D8" s="6" t="inlineStr">
        <is>
          <t>Custom-heavy</t>
        </is>
      </c>
      <c r="E8" s="6" t="inlineStr">
        <is>
          <t>Included in estimate</t>
        </is>
      </c>
    </row>
    <row r="9" ht="36" customHeight="1">
      <c r="A9" s="6" t="inlineStr">
        <is>
          <t>BR-COURT-002</t>
        </is>
      </c>
      <c r="B9" s="6" t="inlineStr">
        <is>
          <t>Court Scheduling</t>
        </is>
      </c>
      <c r="C9" s="6" t="inlineStr">
        <is>
          <t>Membership-based booking rules</t>
        </is>
      </c>
      <c r="D9" s="6" t="inlineStr">
        <is>
          <t>Custom-heavy</t>
        </is>
      </c>
      <c r="E9" s="6" t="inlineStr">
        <is>
          <t>Included in estimate</t>
        </is>
      </c>
    </row>
    <row r="10" ht="36" customHeight="1">
      <c r="A10" s="6" t="inlineStr">
        <is>
          <t>BR-COURT-003</t>
        </is>
      </c>
      <c r="B10" s="6" t="inlineStr">
        <is>
          <t>Court Scheduling</t>
        </is>
      </c>
      <c r="C10" s="6" t="inlineStr">
        <is>
          <t>Cancellation returns availability</t>
        </is>
      </c>
      <c r="D10" s="6" t="inlineStr">
        <is>
          <t>Custom-heavy</t>
        </is>
      </c>
      <c r="E10" s="6" t="inlineStr">
        <is>
          <t>Included in estimate</t>
        </is>
      </c>
    </row>
    <row r="11" ht="36" customHeight="1">
      <c r="A11" s="6" t="inlineStr">
        <is>
          <t>BR-COURT-004</t>
        </is>
      </c>
      <c r="B11" s="6" t="inlineStr">
        <is>
          <t>Court Scheduling</t>
        </is>
      </c>
      <c r="C11" s="6" t="inlineStr">
        <is>
          <t>Waitlist notifications</t>
        </is>
      </c>
      <c r="D11" s="6" t="inlineStr">
        <is>
          <t>Custom-heavy</t>
        </is>
      </c>
      <c r="E11" s="6" t="inlineStr">
        <is>
          <t>Included in estimate</t>
        </is>
      </c>
    </row>
    <row r="12" ht="36" customHeight="1">
      <c r="A12" s="6" t="inlineStr">
        <is>
          <t>BR-COURT-005</t>
        </is>
      </c>
      <c r="B12" s="6" t="inlineStr">
        <is>
          <t>Court Scheduling</t>
        </is>
      </c>
      <c r="C12" s="6" t="inlineStr">
        <is>
          <t>Maintenance/special-event closures</t>
        </is>
      </c>
      <c r="D12" s="6" t="inlineStr">
        <is>
          <t>Custom-heavy</t>
        </is>
      </c>
      <c r="E12" s="6" t="inlineStr">
        <is>
          <t>Included in estimate</t>
        </is>
      </c>
    </row>
    <row r="13" ht="36" customHeight="1">
      <c r="A13" s="6" t="inlineStr">
        <is>
          <t>BR-COURT-006</t>
        </is>
      </c>
      <c r="B13" s="6" t="inlineStr">
        <is>
          <t>Court Scheduling</t>
        </is>
      </c>
      <c r="C13" s="6" t="inlineStr">
        <is>
          <t>Reservations on instructor/customer/report schedules</t>
        </is>
      </c>
      <c r="D13" s="6" t="inlineStr">
        <is>
          <t>Custom-heavy</t>
        </is>
      </c>
      <c r="E13" s="6" t="inlineStr">
        <is>
          <t>Included in estimate</t>
        </is>
      </c>
    </row>
    <row r="14" ht="36" customHeight="1">
      <c r="A14" s="6" t="inlineStr">
        <is>
          <t>BR-POS-001</t>
        </is>
      </c>
      <c r="B14" s="6" t="inlineStr">
        <is>
          <t>POS</t>
        </is>
      </c>
      <c r="C14" s="6" t="inlineStr">
        <is>
          <t>Barcode product identification</t>
        </is>
      </c>
      <c r="D14" s="6" t="inlineStr">
        <is>
          <t>Standard/Config</t>
        </is>
      </c>
      <c r="E14" s="6" t="inlineStr">
        <is>
          <t>Included in estimate</t>
        </is>
      </c>
    </row>
    <row r="15" ht="36" customHeight="1">
      <c r="A15" s="6" t="inlineStr">
        <is>
          <t>BR-POS-002</t>
        </is>
      </c>
      <c r="B15" s="6" t="inlineStr">
        <is>
          <t>POS</t>
        </is>
      </c>
      <c r="C15" s="6" t="inlineStr">
        <is>
          <t>Member pricing and discounts</t>
        </is>
      </c>
      <c r="D15" s="6" t="inlineStr">
        <is>
          <t>Standard/Config</t>
        </is>
      </c>
      <c r="E15" s="6" t="inlineStr">
        <is>
          <t>Included in estimate</t>
        </is>
      </c>
    </row>
    <row r="16" ht="36" customHeight="1">
      <c r="A16" s="6" t="inlineStr">
        <is>
          <t>BR-POS-003</t>
        </is>
      </c>
      <c r="B16" s="6" t="inlineStr">
        <is>
          <t>POS/Inventory</t>
        </is>
      </c>
      <c r="C16" s="6" t="inlineStr">
        <is>
          <t>Immediate inventory update</t>
        </is>
      </c>
      <c r="D16" s="6" t="inlineStr">
        <is>
          <t>Partial</t>
        </is>
      </c>
      <c r="E16" s="6" t="inlineStr">
        <is>
          <t>Included in estimate</t>
        </is>
      </c>
    </row>
    <row r="17" ht="36" customHeight="1">
      <c r="A17" s="6" t="inlineStr">
        <is>
          <t>BR-POS-004</t>
        </is>
      </c>
      <c r="B17" s="6" t="inlineStr">
        <is>
          <t>POS/Accounting</t>
        </is>
      </c>
      <c r="C17" s="6" t="inlineStr">
        <is>
          <t>Automatic accounting entries</t>
        </is>
      </c>
      <c r="D17" s="6" t="inlineStr">
        <is>
          <t>Partial</t>
        </is>
      </c>
      <c r="E17" s="6" t="inlineStr">
        <is>
          <t>Included in estimate</t>
        </is>
      </c>
    </row>
    <row r="18" ht="36" customHeight="1">
      <c r="A18" s="6" t="inlineStr">
        <is>
          <t>BR-POS-005</t>
        </is>
      </c>
      <c r="B18" s="6" t="inlineStr">
        <is>
          <t>POS</t>
        </is>
      </c>
      <c r="C18" s="6" t="inlineStr">
        <is>
          <t>Returns/exchanges with audit history</t>
        </is>
      </c>
      <c r="D18" s="6" t="inlineStr">
        <is>
          <t>Standard/Config</t>
        </is>
      </c>
      <c r="E18" s="6" t="inlineStr">
        <is>
          <t>Included in estimate</t>
        </is>
      </c>
    </row>
    <row r="19" ht="36" customHeight="1">
      <c r="A19" s="6" t="inlineStr">
        <is>
          <t>BR-POS-006</t>
        </is>
      </c>
      <c r="B19" s="6" t="inlineStr">
        <is>
          <t>POS/CRM</t>
        </is>
      </c>
      <c r="C19" s="6" t="inlineStr">
        <is>
          <t>Customer purchase history</t>
        </is>
      </c>
      <c r="D19" s="6" t="inlineStr">
        <is>
          <t>Partial</t>
        </is>
      </c>
      <c r="E19" s="6" t="inlineStr">
        <is>
          <t>Included in estimate</t>
        </is>
      </c>
    </row>
    <row r="20" ht="36" customHeight="1">
      <c r="A20" s="6" t="inlineStr">
        <is>
          <t>BR-INV-001</t>
        </is>
      </c>
      <c r="B20" s="6" t="inlineStr">
        <is>
          <t>Inventory</t>
        </is>
      </c>
      <c r="C20" s="6" t="inlineStr">
        <is>
          <t>Receiving updates stock</t>
        </is>
      </c>
      <c r="D20" s="6" t="inlineStr">
        <is>
          <t>Standard/Config</t>
        </is>
      </c>
      <c r="E20" s="6" t="inlineStr">
        <is>
          <t>Included in estimate</t>
        </is>
      </c>
    </row>
    <row r="21" ht="36" customHeight="1">
      <c r="A21" s="6" t="inlineStr">
        <is>
          <t>BR-INV-002</t>
        </is>
      </c>
      <c r="B21" s="6" t="inlineStr">
        <is>
          <t>Inventory</t>
        </is>
      </c>
      <c r="C21" s="6" t="inlineStr">
        <is>
          <t>Adjustment documentation and audit trail</t>
        </is>
      </c>
      <c r="D21" s="6" t="inlineStr">
        <is>
          <t>Standard/Config</t>
        </is>
      </c>
      <c r="E21" s="6" t="inlineStr">
        <is>
          <t>Included in estimate</t>
        </is>
      </c>
    </row>
    <row r="22" ht="36" customHeight="1">
      <c r="A22" s="6" t="inlineStr">
        <is>
          <t>BR-INV-003</t>
        </is>
      </c>
      <c r="B22" s="6" t="inlineStr">
        <is>
          <t>Inventory/Accounting</t>
        </is>
      </c>
      <c r="C22" s="6" t="inlineStr">
        <is>
          <t>Continuous valuation</t>
        </is>
      </c>
      <c r="D22" s="6" t="inlineStr">
        <is>
          <t>Partial</t>
        </is>
      </c>
      <c r="E22" s="6" t="inlineStr">
        <is>
          <t>Included in estimate</t>
        </is>
      </c>
    </row>
    <row r="23" ht="36" customHeight="1">
      <c r="A23" s="6" t="inlineStr">
        <is>
          <t>BR-INV-004</t>
        </is>
      </c>
      <c r="B23" s="6" t="inlineStr">
        <is>
          <t>Inventory</t>
        </is>
      </c>
      <c r="C23" s="6" t="inlineStr">
        <is>
          <t>Physical count reconciliation</t>
        </is>
      </c>
      <c r="D23" s="6" t="inlineStr">
        <is>
          <t>Standard/Config</t>
        </is>
      </c>
      <c r="E23" s="6" t="inlineStr">
        <is>
          <t>Included in estimate</t>
        </is>
      </c>
    </row>
    <row r="24" ht="36" customHeight="1">
      <c r="A24" s="6" t="inlineStr">
        <is>
          <t>BR-INV-005</t>
        </is>
      </c>
      <c r="B24" s="6" t="inlineStr">
        <is>
          <t>Inventory/AP</t>
        </is>
      </c>
      <c r="C24" s="6" t="inlineStr">
        <is>
          <t>Receipt before vendor bill approval</t>
        </is>
      </c>
      <c r="D24" s="6" t="inlineStr">
        <is>
          <t>Partial</t>
        </is>
      </c>
      <c r="E24" s="6" t="inlineStr">
        <is>
          <t>Included in estimate</t>
        </is>
      </c>
    </row>
    <row r="25" ht="36" customHeight="1">
      <c r="A25" s="6" t="inlineStr">
        <is>
          <t>BR-INV-006</t>
        </is>
      </c>
      <c r="B25" s="6" t="inlineStr">
        <is>
          <t>Purchase/AP</t>
        </is>
      </c>
      <c r="C25" s="6" t="inlineStr">
        <is>
          <t>3-way match PO/receipt/vendor bill</t>
        </is>
      </c>
      <c r="D25" s="6" t="inlineStr">
        <is>
          <t>Standard/Config</t>
        </is>
      </c>
      <c r="E25" s="6" t="inlineStr">
        <is>
          <t>Included in estimate</t>
        </is>
      </c>
    </row>
    <row r="26" ht="36" customHeight="1">
      <c r="A26" s="6" t="inlineStr">
        <is>
          <t>BR-ACC-001</t>
        </is>
      </c>
      <c r="B26" s="6" t="inlineStr">
        <is>
          <t>Accounting</t>
        </is>
      </c>
      <c r="C26" s="6" t="inlineStr">
        <is>
          <t>Billable activities create customer charges</t>
        </is>
      </c>
      <c r="D26" s="6" t="inlineStr">
        <is>
          <t>Partial</t>
        </is>
      </c>
      <c r="E26" s="6" t="inlineStr">
        <is>
          <t>Included in estimate</t>
        </is>
      </c>
    </row>
    <row r="27" ht="36" customHeight="1">
      <c r="A27" s="6" t="inlineStr">
        <is>
          <t>BR-ACC-002</t>
        </is>
      </c>
      <c r="B27" s="6" t="inlineStr">
        <is>
          <t>Accounting</t>
        </is>
      </c>
      <c r="C27" s="6" t="inlineStr">
        <is>
          <t>Payments update balances/accounting</t>
        </is>
      </c>
      <c r="D27" s="6" t="inlineStr">
        <is>
          <t>Partial</t>
        </is>
      </c>
      <c r="E27" s="6" t="inlineStr">
        <is>
          <t>Included in estimate</t>
        </is>
      </c>
    </row>
    <row r="28" ht="36" customHeight="1">
      <c r="A28" s="6" t="inlineStr">
        <is>
          <t>BR-ACC-003</t>
        </is>
      </c>
      <c r="B28" s="6" t="inlineStr">
        <is>
          <t>Accounting</t>
        </is>
      </c>
      <c r="C28" s="6" t="inlineStr">
        <is>
          <t>Electronic statements</t>
        </is>
      </c>
      <c r="D28" s="6" t="inlineStr">
        <is>
          <t>Partial</t>
        </is>
      </c>
      <c r="E28" s="6" t="inlineStr">
        <is>
          <t>Included in estimate</t>
        </is>
      </c>
    </row>
    <row r="29" ht="36" customHeight="1">
      <c r="A29" s="6" t="inlineStr">
        <is>
          <t>BR-ACC-004</t>
        </is>
      </c>
      <c r="B29" s="6" t="inlineStr">
        <is>
          <t>Accounting</t>
        </is>
      </c>
      <c r="C29" s="6" t="inlineStr">
        <is>
          <t>Past-due reminders</t>
        </is>
      </c>
      <c r="D29" s="6" t="inlineStr">
        <is>
          <t>Partial</t>
        </is>
      </c>
      <c r="E29" s="6" t="inlineStr">
        <is>
          <t>Included in estimate</t>
        </is>
      </c>
    </row>
    <row r="30" ht="36" customHeight="1">
      <c r="A30" s="6" t="inlineStr">
        <is>
          <t>BR-ACC-005</t>
        </is>
      </c>
      <c r="B30" s="6" t="inlineStr">
        <is>
          <t>Accounting</t>
        </is>
      </c>
      <c r="C30" s="6" t="inlineStr">
        <is>
          <t>Credits/write-offs authorization</t>
        </is>
      </c>
      <c r="D30" s="6" t="inlineStr">
        <is>
          <t>Partial</t>
        </is>
      </c>
      <c r="E30" s="6" t="inlineStr">
        <is>
          <t>Included in estimate</t>
        </is>
      </c>
    </row>
    <row r="31" ht="36" customHeight="1">
      <c r="A31" s="6" t="inlineStr">
        <is>
          <t>BR-ACC-006</t>
        </is>
      </c>
      <c r="B31" s="6" t="inlineStr">
        <is>
          <t>AP</t>
        </is>
      </c>
      <c r="C31" s="6" t="inlineStr">
        <is>
          <t>Vendor invoice approvals</t>
        </is>
      </c>
      <c r="D31" s="6" t="inlineStr">
        <is>
          <t>Standard/Config</t>
        </is>
      </c>
      <c r="E31" s="6" t="inlineStr">
        <is>
          <t>Included in estimate</t>
        </is>
      </c>
    </row>
    <row r="32" ht="36" customHeight="1">
      <c r="A32" s="6" t="inlineStr">
        <is>
          <t>BR-ACC-007</t>
        </is>
      </c>
      <c r="B32" s="6" t="inlineStr">
        <is>
          <t>AP</t>
        </is>
      </c>
      <c r="C32" s="6" t="inlineStr">
        <is>
          <t>Scheduled vendor payments</t>
        </is>
      </c>
      <c r="D32" s="6" t="inlineStr">
        <is>
          <t>Standard/Config</t>
        </is>
      </c>
      <c r="E32" s="6" t="inlineStr">
        <is>
          <t>Included in estimate</t>
        </is>
      </c>
    </row>
    <row r="33" ht="36" customHeight="1">
      <c r="A33" s="6" t="inlineStr">
        <is>
          <t>BR-ACC-008</t>
        </is>
      </c>
      <c r="B33" s="6" t="inlineStr">
        <is>
          <t>AP/Accounting</t>
        </is>
      </c>
      <c r="C33" s="6" t="inlineStr">
        <is>
          <t>Vendor payments update accounting</t>
        </is>
      </c>
      <c r="D33" s="6" t="inlineStr">
        <is>
          <t>Partial</t>
        </is>
      </c>
      <c r="E33" s="6" t="inlineStr">
        <is>
          <t>Included in estimate</t>
        </is>
      </c>
    </row>
    <row r="34" ht="36" customHeight="1">
      <c r="A34" s="6" t="inlineStr">
        <is>
          <t>BR-ACC-009</t>
        </is>
      </c>
      <c r="B34" s="6" t="inlineStr">
        <is>
          <t>AP</t>
        </is>
      </c>
      <c r="C34" s="6" t="inlineStr">
        <is>
          <t>Duplicate vendor invoice detection</t>
        </is>
      </c>
      <c r="D34" s="6" t="inlineStr">
        <is>
          <t>Standard/Config</t>
        </is>
      </c>
      <c r="E34" s="6" t="inlineStr">
        <is>
          <t>Included in estimate</t>
        </is>
      </c>
    </row>
    <row r="35" ht="36" customHeight="1">
      <c r="A35" s="6" t="inlineStr">
        <is>
          <t>BR-ACC-010</t>
        </is>
      </c>
      <c r="B35" s="6" t="inlineStr">
        <is>
          <t>Payroll</t>
        </is>
      </c>
      <c r="C35" s="6" t="inlineStr">
        <is>
          <t>Compensation calculations</t>
        </is>
      </c>
      <c r="D35" s="6" t="inlineStr">
        <is>
          <t>Partial</t>
        </is>
      </c>
      <c r="E35" s="6" t="inlineStr">
        <is>
          <t>Included in estimate</t>
        </is>
      </c>
    </row>
    <row r="36" ht="36" customHeight="1">
      <c r="A36" s="6" t="inlineStr">
        <is>
          <t>BR-ACC-011</t>
        </is>
      </c>
      <c r="B36" s="6" t="inlineStr">
        <is>
          <t>Payroll/Time Off</t>
        </is>
      </c>
      <c r="C36" s="6" t="inlineStr">
        <is>
          <t>Leave balance updates</t>
        </is>
      </c>
      <c r="D36" s="6" t="inlineStr">
        <is>
          <t>Partial</t>
        </is>
      </c>
      <c r="E36" s="6" t="inlineStr">
        <is>
          <t>Included in estimate</t>
        </is>
      </c>
    </row>
    <row r="37" ht="36" customHeight="1">
      <c r="A37" s="6" t="inlineStr">
        <is>
          <t>BR-ACC-012</t>
        </is>
      </c>
      <c r="B37" s="6" t="inlineStr">
        <is>
          <t>Payroll/GL</t>
        </is>
      </c>
      <c r="C37" s="6" t="inlineStr">
        <is>
          <t>Payroll expense GL posting</t>
        </is>
      </c>
      <c r="D37" s="6" t="inlineStr">
        <is>
          <t>Partial</t>
        </is>
      </c>
      <c r="E37" s="6" t="inlineStr">
        <is>
          <t>Included in estimate</t>
        </is>
      </c>
    </row>
    <row r="38" ht="36" customHeight="1">
      <c r="A38" s="6" t="inlineStr">
        <is>
          <t>BR-ACC-013</t>
        </is>
      </c>
      <c r="B38" s="6" t="inlineStr">
        <is>
          <t>Payroll</t>
        </is>
      </c>
      <c r="C38" s="6" t="inlineStr">
        <is>
          <t>Payroll adjustment approvals</t>
        </is>
      </c>
      <c r="D38" s="6" t="inlineStr">
        <is>
          <t>Partial</t>
        </is>
      </c>
      <c r="E38" s="6" t="inlineStr">
        <is>
          <t>Included in estimate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0" customWidth="1" min="3" max="3"/>
  </cols>
  <sheetData>
    <row r="1" ht="24" customHeight="1">
      <c r="A1" s="4" t="inlineStr">
        <is>
          <t>Assumption</t>
        </is>
      </c>
      <c r="B1" s="4" t="inlineStr">
        <is>
          <t>Value</t>
        </is>
      </c>
      <c r="C1" s="4" t="inlineStr">
        <is>
          <t>Notes</t>
        </is>
      </c>
    </row>
    <row r="2" ht="36" customHeight="1">
      <c r="A2" s="6" t="inlineStr">
        <is>
          <t>India blended hourly rate USD</t>
        </is>
      </c>
      <c r="B2" s="10" t="n">
        <v>28</v>
      </c>
      <c r="C2" s="6" t="inlineStr">
        <is>
          <t>Editable</t>
        </is>
      </c>
    </row>
    <row r="3" ht="36" customHeight="1">
      <c r="A3" s="6" t="inlineStr">
        <is>
          <t>Contingency %</t>
        </is>
      </c>
      <c r="B3" s="19" t="n">
        <v>0.1</v>
      </c>
      <c r="C3" s="6" t="inlineStr">
        <is>
          <t>Editable</t>
        </is>
      </c>
    </row>
    <row r="4" ht="36" customHeight="1">
      <c r="A4" s="6" t="inlineStr">
        <is>
          <t>Planning paid users</t>
        </is>
      </c>
      <c r="B4" s="6" t="n">
        <v>12</v>
      </c>
      <c r="C4" s="6" t="inlineStr">
        <is>
          <t>Editable in License sheet too</t>
        </is>
      </c>
    </row>
    <row r="5" ht="36" customHeight="1">
      <c r="A5" s="6" t="inlineStr">
        <is>
          <t>FX USD to INR</t>
        </is>
      </c>
      <c r="B5" s="15" t="n">
        <v>83.5</v>
      </c>
      <c r="C5" s="6" t="inlineStr">
        <is>
          <t>Editable planning assumption</t>
        </is>
      </c>
    </row>
    <row r="6" ht="36" customHeight="1">
      <c r="A6" s="6" t="inlineStr">
        <is>
          <t>Delivery model</t>
        </is>
      </c>
      <c r="B6" s="6" t="inlineStr">
        <is>
          <t>Remote India delivery</t>
        </is>
      </c>
      <c r="C6" s="6" t="inlineStr">
        <is>
          <t>Onsite travel excluded</t>
        </is>
      </c>
    </row>
    <row r="7" ht="36" customHeight="1">
      <c r="A7" s="3" t="n"/>
      <c r="B7" s="3" t="n"/>
      <c r="C7" s="3" t="n"/>
    </row>
    <row r="8" ht="36" customHeight="1">
      <c r="A8" s="3" t="n"/>
      <c r="B8" s="3" t="n"/>
      <c r="C8" s="3" t="n"/>
    </row>
    <row r="9" ht="36" customHeight="1">
      <c r="A9" s="4" t="inlineStr">
        <is>
          <t>Topic</t>
        </is>
      </c>
      <c r="B9" s="4" t="inlineStr">
        <is>
          <t>Assumption / Note</t>
        </is>
      </c>
      <c r="C9" s="3" t="n"/>
    </row>
    <row r="10" ht="36" customHeight="1">
      <c r="A10" s="6" t="inlineStr">
        <is>
          <t>Commercial note</t>
        </is>
      </c>
      <c r="B10" s="6" t="inlineStr">
        <is>
          <t>This is an India delivery planning estimate in USD with INR reference. It is not a binding quote.</t>
        </is>
      </c>
      <c r="C10" s="3" t="n"/>
    </row>
    <row r="11" ht="36" customHeight="1">
      <c r="A11" s="6" t="inlineStr">
        <is>
          <t>License note</t>
        </is>
      </c>
      <c r="B11" s="6" t="inlineStr">
        <is>
          <t>Odoo license is separate from implementation. Final quote should be obtained from Odoo or the selling partner based on billing country.</t>
        </is>
      </c>
      <c r="C11" s="3" t="n"/>
    </row>
    <row r="12" ht="36" customHeight="1">
      <c r="A12" s="6" t="inlineStr">
        <is>
          <t>Scope baseline</t>
        </is>
      </c>
      <c r="B12" s="6" t="inlineStr">
        <is>
          <t>The 72-page BRD is the baseline. Detailed discovery can change scope, hours and cost.</t>
        </is>
      </c>
      <c r="C12" s="3" t="n"/>
    </row>
    <row r="13" ht="36" customHeight="1">
      <c r="A13" s="6" t="inlineStr">
        <is>
          <t>Remote delivery</t>
        </is>
      </c>
      <c r="B13" s="6" t="inlineStr">
        <is>
          <t>Remote workshops and go-live support assumed. Onsite travel and expenses are excluded.</t>
        </is>
      </c>
      <c r="C13" s="3" t="n"/>
    </row>
    <row r="14" ht="36" customHeight="1">
      <c r="A14" s="6" t="inlineStr">
        <is>
          <t>Data</t>
        </is>
      </c>
      <c r="B14" s="6" t="inlineStr">
        <is>
          <t>Client must provide Sage 50/spreadsheet exports, field definitions and business validation owners.</t>
        </is>
      </c>
      <c r="C14" s="3" t="n"/>
    </row>
    <row r="15" ht="36" customHeight="1">
      <c r="A15" s="6" t="inlineStr">
        <is>
          <t>Custom code</t>
        </is>
      </c>
      <c r="B15" s="6" t="inlineStr">
        <is>
          <t>Custom development is last resort per BRD; custom modules must be documented and upgrade-safe.</t>
        </is>
      </c>
      <c r="C15" s="3" t="n"/>
    </row>
    <row r="16" ht="36" customHeight="1">
      <c r="A16" s="6" t="inlineStr">
        <is>
          <t>Support</t>
        </is>
      </c>
      <c r="B16" s="6" t="inlineStr">
        <is>
          <t>30-day stabilization included; managed support after that is separate.</t>
        </is>
      </c>
      <c r="C16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6" customWidth="1" min="3" max="3"/>
    <col width="72" customWidth="1" min="4" max="4"/>
  </cols>
  <sheetData>
    <row r="1" ht="24" customHeight="1">
      <c r="A1" s="4" t="inlineStr">
        <is>
          <t>Source</t>
        </is>
      </c>
      <c r="B1" s="4" t="inlineStr">
        <is>
          <t>URL / File</t>
        </is>
      </c>
      <c r="C1" s="4" t="inlineStr">
        <is>
          <t>Used For</t>
        </is>
      </c>
      <c r="D1" s="4" t="inlineStr">
        <is>
          <t>Notes</t>
        </is>
      </c>
    </row>
    <row r="2" ht="36" customHeight="1">
      <c r="A2" s="6" t="inlineStr">
        <is>
          <t>BRD PDF</t>
        </is>
      </c>
      <c r="B2" s="6" t="inlineStr">
        <is>
          <t>Fox Cities Racquet Club - Odoo Business Requirements Document v1 (1).pdf</t>
        </is>
      </c>
      <c r="C2" s="6" t="inlineStr">
        <is>
          <t>Scope, requirements, roles, migration and acceptance criteria</t>
        </is>
      </c>
      <c r="D2" s="6" t="inlineStr">
        <is>
          <t>Downloaded from attached file and analyzed locally.</t>
        </is>
      </c>
    </row>
    <row r="3" ht="36" customHeight="1">
      <c r="A3" s="6" t="inlineStr">
        <is>
          <t>Odoo pricing</t>
        </is>
      </c>
      <c r="B3" s="6" t="inlineStr">
        <is>
          <t>https://www.odoo.com/pricing</t>
        </is>
      </c>
      <c r="C3" s="6" t="inlineStr">
        <is>
          <t>Odoo plan structure, all-app subscription, paid-user rule and exclusions</t>
        </is>
      </c>
      <c r="D3" s="6" t="inlineStr">
        <is>
          <t>Final license quote to be confirmed with Odoo/Odoo partner.</t>
        </is>
      </c>
    </row>
    <row r="4" ht="36" customHeight="1">
      <c r="A4" s="6" t="inlineStr">
        <is>
          <t>Odoo Success Packs</t>
        </is>
      </c>
      <c r="B4" s="6" t="inlineStr">
        <is>
          <t>https://www.odoo.com/pricing-packs</t>
        </is>
      </c>
      <c r="C4" s="6" t="inlineStr">
        <is>
          <t>Implementation benchmark and Odoo service scope reference</t>
        </is>
      </c>
      <c r="D4" s="6" t="inlineStr">
        <is>
          <t>Used as reference only; India partner estimate uses BRD workstreams.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DearERP</dc:creator>
  <dc:title xmlns:dc="http://purl.org/dc/elements/1.1/">Fox Cities Racquet Club - BRD Review and India Cost Estimate</dc:title>
  <dc:subject xmlns:dc="http://purl.org/dc/elements/1.1/">India-based Odoo implementation estimate and BRD review</dc:subject>
  <dcterms:created xmlns:dcterms="http://purl.org/dc/terms/" xmlns:xsi="http://www.w3.org/2001/XMLSchema-instance" xsi:type="dcterms:W3CDTF">2026-07-17T05:57:49Z</dcterms:created>
  <dcterms:modified xmlns:dcterms="http://purl.org/dc/terms/" xmlns:xsi="http://www.w3.org/2001/XMLSchema-instance" xsi:type="dcterms:W3CDTF">2026-07-17T05:58:03Z</dcterms:modified>
</cp:coreProperties>
</file>